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omments1.xml" ContentType="application/vnd.openxmlformats-officedocument.spreadsheetml.comments+xml"/>
  <Override PartName="/xl/drawings/drawing3.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drawings/drawing5.xml" ContentType="application/vnd.openxmlformats-officedocument.drawing+xml"/>
  <Override PartName="/xl/activeX/activeX12.xml" ContentType="application/vnd.ms-office.activeX+xml"/>
  <Override PartName="/xl/activeX/activeX12.bin" ContentType="application/vnd.ms-office.activeX"/>
  <Override PartName="/xl/drawings/drawing6.xml" ContentType="application/vnd.openxmlformats-officedocument.drawing+xml"/>
  <Override PartName="/xl/activeX/activeX13.xml" ContentType="application/vnd.ms-office.activeX+xml"/>
  <Override PartName="/xl/activeX/activeX13.bin" ContentType="application/vnd.ms-office.activeX"/>
  <Override PartName="/xl/drawings/drawing7.xml" ContentType="application/vnd.openxmlformats-officedocument.drawing+xml"/>
  <Override PartName="/xl/activeX/activeX14.xml" ContentType="application/vnd.ms-office.activeX+xml"/>
  <Override PartName="/xl/activeX/activeX14.bin" ContentType="application/vnd.ms-office.activeX"/>
  <Override PartName="/xl/drawings/drawing8.xml" ContentType="application/vnd.openxmlformats-officedocument.drawing+xml"/>
  <Override PartName="/xl/activeX/activeX15.xml" ContentType="application/vnd.ms-office.activeX+xml"/>
  <Override PartName="/xl/activeX/activeX15.bin" ContentType="application/vnd.ms-office.activeX"/>
  <Override PartName="/xl/drawings/drawing9.xml" ContentType="application/vnd.openxmlformats-officedocument.drawing+xml"/>
  <Override PartName="/xl/activeX/activeX16.xml" ContentType="application/vnd.ms-office.activeX+xml"/>
  <Override PartName="/xl/activeX/activeX16.bin" ContentType="application/vnd.ms-office.activeX"/>
  <Override PartName="/xl/drawings/drawing10.xml" ContentType="application/vnd.openxmlformats-officedocument.drawing+xml"/>
  <Override PartName="/xl/activeX/activeX17.xml" ContentType="application/vnd.ms-office.activeX+xml"/>
  <Override PartName="/xl/activeX/activeX17.bin" ContentType="application/vnd.ms-office.activeX"/>
  <Override PartName="/xl/comments2.xml" ContentType="application/vnd.openxmlformats-officedocument.spreadsheetml.comments+xml"/>
  <Override PartName="/xl/drawings/drawing11.xml" ContentType="application/vnd.openxmlformats-officedocument.drawing+xml"/>
  <Override PartName="/xl/activeX/activeX18.xml" ContentType="application/vnd.ms-office.activeX+xml"/>
  <Override PartName="/xl/activeX/activeX18.bin" ContentType="application/vnd.ms-office.activeX"/>
  <Override PartName="/xl/drawings/drawing12.xml" ContentType="application/vnd.openxmlformats-officedocument.drawing+xml"/>
  <Override PartName="/xl/activeX/activeX19.xml" ContentType="application/vnd.ms-office.activeX+xml"/>
  <Override PartName="/xl/activeX/activeX19.bin" ContentType="application/vnd.ms-office.activeX"/>
  <Override PartName="/xl/drawings/drawing1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tjain2\Desktop\DevOps\"/>
    </mc:Choice>
  </mc:AlternateContent>
  <bookViews>
    <workbookView xWindow="0" yWindow="0" windowWidth="23040" windowHeight="9408" tabRatio="813" firstSheet="2" activeTab="14"/>
  </bookViews>
  <sheets>
    <sheet name="ReadMe" sheetId="20" r:id="rId1"/>
    <sheet name="Team" sheetId="1" r:id="rId2"/>
    <sheet name="RequirementMgmt" sheetId="9" r:id="rId3"/>
    <sheet name="VersionControl" sheetId="10" r:id="rId4"/>
    <sheet name="UnitTesting" sheetId="11" r:id="rId5"/>
    <sheet name="CodeQualityAndAnalytics" sheetId="12" r:id="rId6"/>
    <sheet name="Packaging" sheetId="2" state="hidden" r:id="rId7"/>
    <sheet name="Build" sheetId="4" r:id="rId8"/>
    <sheet name="Testing" sheetId="5" r:id="rId9"/>
    <sheet name="UserAcceptanceTesting" sheetId="7" r:id="rId10"/>
    <sheet name="Deploy" sheetId="6" r:id="rId11"/>
    <sheet name="Release" sheetId="8" r:id="rId12"/>
    <sheet name="RunTime" sheetId="13" r:id="rId13"/>
    <sheet name="Infrastructure" sheetId="14" state="hidden" r:id="rId14"/>
    <sheet name="Results" sheetId="19" r:id="rId15"/>
    <sheet name="DataNew" sheetId="18" state="hidden" r:id="rId16"/>
    <sheet name="Introduction" sheetId="15" state="hidden" r:id="rId17"/>
    <sheet name="Notes" sheetId="16" state="hidden" r:id="rId18"/>
  </sheet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25" i="10" l="1"/>
  <c r="F25" i="10"/>
  <c r="G11" i="8"/>
  <c r="C3" i="19" l="1"/>
  <c r="C8" i="19"/>
  <c r="C9" i="19"/>
  <c r="G50" i="5"/>
  <c r="F50" i="5"/>
  <c r="G8" i="7"/>
  <c r="F8" i="7"/>
  <c r="I55" i="6"/>
  <c r="H55" i="6"/>
  <c r="F11" i="8"/>
  <c r="G10" i="13"/>
  <c r="F10" i="13"/>
  <c r="H12" i="14"/>
  <c r="G12" i="14"/>
  <c r="H56" i="6" l="1"/>
  <c r="D55" i="6" s="1"/>
  <c r="C10" i="19" s="1"/>
  <c r="F51" i="5"/>
  <c r="C50" i="5" s="1"/>
  <c r="G13" i="14"/>
  <c r="D12" i="14" s="1"/>
  <c r="F11" i="13"/>
  <c r="C10" i="13" s="1"/>
  <c r="C12" i="19" s="1"/>
  <c r="F12" i="8"/>
  <c r="C11" i="8" s="1"/>
  <c r="C11" i="19" s="1"/>
  <c r="F9" i="7"/>
  <c r="C8" i="7" s="1"/>
  <c r="G7" i="9"/>
  <c r="F7" i="9"/>
  <c r="C7" i="9" s="1"/>
  <c r="G11" i="4" l="1"/>
  <c r="F11" i="4"/>
  <c r="G9" i="2"/>
  <c r="F9" i="2"/>
  <c r="H26" i="12"/>
  <c r="G26" i="12"/>
  <c r="F12" i="4" l="1"/>
  <c r="C12" i="4" s="1"/>
  <c r="C7" i="19" s="1"/>
  <c r="F10" i="2"/>
  <c r="C10" i="2" s="1"/>
  <c r="G27" i="12"/>
  <c r="C27" i="12" s="1"/>
  <c r="C6" i="19" s="1"/>
  <c r="F10" i="11" l="1"/>
  <c r="G10" i="11"/>
  <c r="F11" i="11" l="1"/>
  <c r="C11" i="11" s="1"/>
  <c r="C5" i="19" s="1"/>
  <c r="F26" i="10" l="1"/>
  <c r="C26" i="10" s="1"/>
  <c r="C4" i="19" s="1"/>
</calcChain>
</file>

<file path=xl/comments1.xml><?xml version="1.0" encoding="utf-8"?>
<comments xmlns="http://schemas.openxmlformats.org/spreadsheetml/2006/main">
  <authors>
    <author>Jain,Tushar</author>
  </authors>
  <commentList>
    <comment ref="B9" authorId="0" shapeId="0">
      <text>
        <r>
          <rPr>
            <b/>
            <sz val="9"/>
            <color indexed="81"/>
            <rFont val="Tahoma"/>
            <charset val="1"/>
          </rPr>
          <t>Jain,Tushar:</t>
        </r>
        <r>
          <rPr>
            <sz val="9"/>
            <color indexed="81"/>
            <rFont val="Tahoma"/>
            <charset val="1"/>
          </rPr>
          <t xml:space="preserve">
This data may include story #, defect #, type of fix, etc.</t>
        </r>
      </text>
    </comment>
  </commentList>
</comments>
</file>

<file path=xl/comments2.xml><?xml version="1.0" encoding="utf-8"?>
<comments xmlns="http://schemas.openxmlformats.org/spreadsheetml/2006/main">
  <authors>
    <author>Jain,Tushar</author>
  </authors>
  <commentList>
    <comment ref="B7" authorId="0" shapeId="0">
      <text>
        <r>
          <rPr>
            <b/>
            <sz val="9"/>
            <color indexed="81"/>
            <rFont val="Tahoma"/>
            <family val="2"/>
          </rPr>
          <t>Jain,Tushar:</t>
        </r>
        <r>
          <rPr>
            <sz val="9"/>
            <color indexed="81"/>
            <rFont val="Tahoma"/>
            <family val="2"/>
          </rPr>
          <t xml:space="preserve">
There’s no UI impact of the feature flag enabling, but behind the scenes additional work is being done generally to provide real world test data to a system.</t>
        </r>
      </text>
    </comment>
    <comment ref="B8" authorId="0" shapeId="0">
      <text>
        <r>
          <rPr>
            <b/>
            <sz val="9"/>
            <color indexed="81"/>
            <rFont val="Tahoma"/>
            <family val="2"/>
          </rPr>
          <t>Jain,Tushar:</t>
        </r>
        <r>
          <rPr>
            <sz val="9"/>
            <color indexed="81"/>
            <rFont val="Tahoma"/>
            <family val="2"/>
          </rPr>
          <t xml:space="preserve">
A canary release is a push of functionality/ies to a small group of end users who are unaware that they are receiving updated features</t>
        </r>
      </text>
    </comment>
    <comment ref="B9" authorId="0" shapeId="0">
      <text>
        <r>
          <rPr>
            <b/>
            <sz val="9"/>
            <color indexed="81"/>
            <rFont val="Tahoma"/>
            <charset val="1"/>
          </rPr>
          <t>Jain,Tushar:</t>
        </r>
        <r>
          <rPr>
            <sz val="9"/>
            <color indexed="81"/>
            <rFont val="Tahoma"/>
            <charset val="1"/>
          </rPr>
          <t xml:space="preserve">
Blue/green deployments, which may also be referred to as A/B deployments require two identical hardware environments that are configured exactly the same way. While one environment is active and serving end users, the other environment remains idle.</t>
        </r>
      </text>
    </comment>
  </commentList>
</comments>
</file>

<file path=xl/sharedStrings.xml><?xml version="1.0" encoding="utf-8"?>
<sst xmlns="http://schemas.openxmlformats.org/spreadsheetml/2006/main" count="1038" uniqueCount="510">
  <si>
    <t>Packaging</t>
  </si>
  <si>
    <t>Yes</t>
  </si>
  <si>
    <t>No</t>
  </si>
  <si>
    <t>Some are</t>
  </si>
  <si>
    <t>Does team has artifact repository to keep track on versioning of binaries (e.g. libraries)</t>
  </si>
  <si>
    <t>No, we don't have. No idea about dept/org.</t>
  </si>
  <si>
    <t>No, dept/org. maintains it</t>
  </si>
  <si>
    <t>Build</t>
  </si>
  <si>
    <t>Few minutes</t>
  </si>
  <si>
    <t>Under one hours</t>
  </si>
  <si>
    <t>Many hours</t>
  </si>
  <si>
    <t>Days</t>
  </si>
  <si>
    <t>Testing</t>
  </si>
  <si>
    <t>Partial</t>
  </si>
  <si>
    <t>We can mark test cases to facilitate smoke testing</t>
  </si>
  <si>
    <t>Other - please specify</t>
  </si>
  <si>
    <t>Half day</t>
  </si>
  <si>
    <t>One day</t>
  </si>
  <si>
    <t>With in a week</t>
  </si>
  <si>
    <t>More than two weeks</t>
  </si>
  <si>
    <t>Deploy</t>
  </si>
  <si>
    <t>Few hours</t>
  </si>
  <si>
    <t>A day</t>
  </si>
  <si>
    <t>Few days</t>
  </si>
  <si>
    <t>Env</t>
  </si>
  <si>
    <t>Dev</t>
  </si>
  <si>
    <t>Test</t>
  </si>
  <si>
    <t>Stg</t>
  </si>
  <si>
    <t>Prd</t>
  </si>
  <si>
    <t>Count</t>
  </si>
  <si>
    <t>Yes/No</t>
  </si>
  <si>
    <t>User Acceptance Testing</t>
  </si>
  <si>
    <t>During current iteration/sprint</t>
  </si>
  <si>
    <t>At the end of current iteration/sprint</t>
  </si>
  <si>
    <t>Just after system demo (SAFe)</t>
  </si>
  <si>
    <t>Just before system demo (SAFe)</t>
  </si>
  <si>
    <t>Just before release</t>
  </si>
  <si>
    <t>Periodically - Please specify</t>
  </si>
  <si>
    <t>Adhoc</t>
  </si>
  <si>
    <t>Team</t>
  </si>
  <si>
    <t>Release</t>
  </si>
  <si>
    <t>Other - Please specify</t>
  </si>
  <si>
    <t>Yes but require significant amount of work</t>
  </si>
  <si>
    <t>In few minutes</t>
  </si>
  <si>
    <t>Team name</t>
  </si>
  <si>
    <t>Total number of team members</t>
  </si>
  <si>
    <t>How many Product Owners</t>
  </si>
  <si>
    <t>Does team gets work from a Product Owner only?</t>
  </si>
  <si>
    <t>Does team conduct Iteration/Sprint Planning meeting regularly</t>
  </si>
  <si>
    <t>Does team conducts Daily Standup regularly</t>
  </si>
  <si>
    <t>Does team conduct Iteration/Sprint Review meeting regularly</t>
  </si>
  <si>
    <t>Does team conducts demo regularly</t>
  </si>
  <si>
    <t>Does team conducts refinement sessions regularly</t>
  </si>
  <si>
    <t>Does team has Scrum/Kanban Board</t>
  </si>
  <si>
    <t>Does team has all skill sets to complete the work from requirement to deployment</t>
  </si>
  <si>
    <t>When does newest member joined the team?</t>
  </si>
  <si>
    <t>How longest back the one of the current member joined the team</t>
  </si>
  <si>
    <t>How many changes in a quarter in the team (on the average)</t>
  </si>
  <si>
    <t>Do requirements follow "Requirement by Specification" pattern?</t>
  </si>
  <si>
    <t>Does version control system demand comments in specific pattern for check-in ( e.g. ref#)</t>
  </si>
  <si>
    <t>Branching and Merging</t>
  </si>
  <si>
    <t>How much time it take to perform a merge?</t>
  </si>
  <si>
    <t>Who is responsible for a merge?</t>
  </si>
  <si>
    <t>In merging manual?</t>
  </si>
  <si>
    <t>Does check-in kick build process?</t>
  </si>
  <si>
    <t>Requirement Mgmt</t>
  </si>
  <si>
    <t>Version Control</t>
  </si>
  <si>
    <t>Test Data</t>
  </si>
  <si>
    <t>First day of iteration/sprint</t>
  </si>
  <si>
    <t>When ever coding starts on a new story</t>
  </si>
  <si>
    <t>When ever coding starts on a new feature</t>
  </si>
  <si>
    <t>We don't fork. We have trunk based development</t>
  </si>
  <si>
    <t>We don't fork, we have trunk based development</t>
  </si>
  <si>
    <t>Couple of minutes</t>
  </si>
  <si>
    <t>Couple of hours</t>
  </si>
  <si>
    <t>Whole team</t>
  </si>
  <si>
    <t>One who merges in the last</t>
  </si>
  <si>
    <t>Manual</t>
  </si>
  <si>
    <t>Automatic</t>
  </si>
  <si>
    <t>Partial automatic</t>
  </si>
  <si>
    <t>Code Quality and Analytics</t>
  </si>
  <si>
    <t>Parameter</t>
  </si>
  <si>
    <t>Logical part of the code</t>
  </si>
  <si>
    <t>Coding standards</t>
  </si>
  <si>
    <t>What % of code is reviewed</t>
  </si>
  <si>
    <t>Spread sheet</t>
  </si>
  <si>
    <t>Emails</t>
  </si>
  <si>
    <t>We use work item tracking system</t>
  </si>
  <si>
    <t>We keep versioned interfaces between our different services and services are automatically tested against the client contracts. Pull requests and commits of code violating the tests are rejected to prevent breaking the interface.</t>
  </si>
  <si>
    <t>We maintain an artifactory repository (Nuget, Nexus, Artifactory, etc.) with the latest binaries and all teams pull from there. Our services are built to cope with downstream failure and we support multiple versions.</t>
  </si>
  <si>
    <t>Not applicable</t>
  </si>
  <si>
    <t>We list technical debt remediation work in our product backlog</t>
  </si>
  <si>
    <t>We incur technical debt to sort out immediate challenge but track it and promptly pay it off</t>
  </si>
  <si>
    <t>A week</t>
  </si>
  <si>
    <t>Couple of days</t>
  </si>
  <si>
    <t>Less than an hour</t>
  </si>
  <si>
    <t>Run Time</t>
  </si>
  <si>
    <t>Are the alarms, monitors, thresholds and other tooling areas implemented in the application design?</t>
  </si>
  <si>
    <t>We do not have separate Ops team</t>
  </si>
  <si>
    <t>Others - Please specify</t>
  </si>
  <si>
    <t>How much time it take to create a new non-prd env</t>
  </si>
  <si>
    <t>Few Hours</t>
  </si>
  <si>
    <t>Is monitoring in prd and non-prd system same?</t>
  </si>
  <si>
    <t>dev</t>
  </si>
  <si>
    <t>test</t>
  </si>
  <si>
    <t>stg</t>
  </si>
  <si>
    <t>This DevOps team level assessment classify a dev team into three levels. This classification is based on following parameter:
1. People and Culture
2. Process and Structure
3. Tools and Technology
4. Measurement
5. Outcome and Progress</t>
  </si>
  <si>
    <t>While depicting the results of this assessment, this tool highlights:
1.Team's current status
2. Depicting team's progress
     a. Improvement in existing practices
     b. Addition of desirable practices
     c. Stepping away from not so postive practices
3. Bench marking this team against other similar teams</t>
  </si>
  <si>
    <t>Map Value stream for the team or identify the value stream in which team is one of many.</t>
  </si>
  <si>
    <t>With each assessment find out what is the improvement in the value stream.</t>
  </si>
  <si>
    <t>Identify value stream improvement drivers which team can work on in priority order</t>
  </si>
  <si>
    <t>Find out cycle time drivers and order them in priorty for improvement</t>
  </si>
  <si>
    <t>With each assessment find out what is the improvement in the cycle time drivers</t>
  </si>
  <si>
    <t>No, each env has its own set of scripts</t>
  </si>
  <si>
    <t>Assessment started on</t>
  </si>
  <si>
    <t>Assessment completed on</t>
  </si>
  <si>
    <t>Remarks</t>
  </si>
  <si>
    <t>On average, how many team members were present while doing assessment?</t>
  </si>
  <si>
    <t>Yes - Comprehensive</t>
  </si>
  <si>
    <t>Yes - Very few</t>
  </si>
  <si>
    <t>Not at all</t>
  </si>
  <si>
    <t>Whole of iteration/sprint</t>
  </si>
  <si>
    <t>Beyond one iteration/sprint</t>
  </si>
  <si>
    <t>Multiple times a day</t>
  </si>
  <si>
    <t>Once in a day</t>
  </si>
  <si>
    <t>When ever story gets completed</t>
  </si>
  <si>
    <t>When ever feature is completed</t>
  </si>
  <si>
    <t>Unit Testing</t>
  </si>
  <si>
    <t>We do not write unit tests</t>
  </si>
  <si>
    <t xml:space="preserve">Where are the metrics derived from unit tests utilized? </t>
  </si>
  <si>
    <t>% coverage</t>
  </si>
  <si>
    <t>None, we do not write unit tests</t>
  </si>
  <si>
    <t>ratio of "unit tests written before code" and "unit tests written after code"</t>
  </si>
  <si>
    <t>Discussed during I&amp;A (SAFe)</t>
  </si>
  <si>
    <t>Discussed during iteration/sprint retro</t>
  </si>
  <si>
    <t>Available on ART dash board (SAFe)</t>
  </si>
  <si>
    <t>Technical Debt</t>
  </si>
  <si>
    <t>Cyclomatic complexity</t>
  </si>
  <si>
    <t>Design patterns</t>
  </si>
  <si>
    <t>One Big monolithic package</t>
  </si>
  <si>
    <t>Can a package be hot deployed?</t>
  </si>
  <si>
    <t>How much time it take to create a build?</t>
  </si>
  <si>
    <t>Do we create incremental build?</t>
  </si>
  <si>
    <t>Under 30 minutes</t>
  </si>
  <si>
    <t>Is unit test case suit execution kick-in with build creation (full or partial)?</t>
  </si>
  <si>
    <t>Functional Testing</t>
  </si>
  <si>
    <t>Security Testing</t>
  </si>
  <si>
    <t>Performance/Load Testing</t>
  </si>
  <si>
    <t>Smoke Testing</t>
  </si>
  <si>
    <t>What % of functional test cases are automated?</t>
  </si>
  <si>
    <t>Yes, only for new code base</t>
  </si>
  <si>
    <t>Yes, for most changing code base</t>
  </si>
  <si>
    <t>No, we do not have any</t>
  </si>
  <si>
    <t>Does team has functional regression test suit?</t>
  </si>
  <si>
    <t>Daily</t>
  </si>
  <si>
    <t>Every weekend</t>
  </si>
  <si>
    <t>At the end of sprint</t>
  </si>
  <si>
    <t>Before release</t>
  </si>
  <si>
    <t>Before UAT</t>
  </si>
  <si>
    <t>Once during PI (SAFe)</t>
  </si>
  <si>
    <t>How versatile is automated security regression test suite?</t>
  </si>
  <si>
    <t>How versatile is automated functional regression test suite?</t>
  </si>
  <si>
    <t>During an iteration/sprint how many times, functional regression test suit is executed?</t>
  </si>
  <si>
    <t>Does team has automated functional regression test suit?</t>
  </si>
  <si>
    <t>What % of security test cases are automated?</t>
  </si>
  <si>
    <t>Does team has security regression test suit?</t>
  </si>
  <si>
    <t>Does team has automated security regression test suit?</t>
  </si>
  <si>
    <t>None - We do not automate the tests</t>
  </si>
  <si>
    <t>Is test data version controlled?</t>
  </si>
  <si>
    <t>Is test data extraction, massaging, and loading automated?</t>
  </si>
  <si>
    <t>None - we do not load data in sub prd envs</t>
  </si>
  <si>
    <t>No - We do not execute smoke test after deployment in any env except in prd</t>
  </si>
  <si>
    <t>Other - Please share the details</t>
  </si>
  <si>
    <t>How long it take to request test data refresh and actual refresh?</t>
  </si>
  <si>
    <t>Yes, in all env</t>
  </si>
  <si>
    <t>Yes, in some env - Please specify the env</t>
  </si>
  <si>
    <t>No - We do not execute smoke test after deployment in any env</t>
  </si>
  <si>
    <r>
      <t>Scale down ratio
(prd:non-prd:: 100:</t>
    </r>
    <r>
      <rPr>
        <b/>
        <sz val="11"/>
        <color rgb="FFFF0000"/>
        <rFont val="Calibri"/>
        <family val="2"/>
        <scheme val="minor"/>
      </rPr>
      <t>?</t>
    </r>
    <r>
      <rPr>
        <b/>
        <sz val="11"/>
        <color theme="1"/>
        <rFont val="Calibri"/>
        <family val="2"/>
        <scheme val="minor"/>
      </rPr>
      <t>)</t>
    </r>
  </si>
  <si>
    <t>Does application support partial/incremental deployment of features/functionalities and components?</t>
  </si>
  <si>
    <t>Partial - Please share the details</t>
  </si>
  <si>
    <t>Sometimes</t>
  </si>
  <si>
    <t>Manual/Automatic/Partial automatic</t>
  </si>
  <si>
    <t>Yes/No/Sometimes</t>
  </si>
  <si>
    <t>No, we do not have scripts, we do manual deployment</t>
  </si>
  <si>
    <t>No, we do not know about log files</t>
  </si>
  <si>
    <t>No, we do not refer log files</t>
  </si>
  <si>
    <t>At the end of next iteration/sprint</t>
  </si>
  <si>
    <t>Is UAT execution automated?</t>
  </si>
  <si>
    <t>Is UAT scripted?</t>
  </si>
  <si>
    <t>When does user acceptance testing performed?</t>
  </si>
  <si>
    <t>Yes, in few minutes</t>
  </si>
  <si>
    <t>Yes, it require few hours of efforts</t>
  </si>
  <si>
    <t>Once in a month - follow the enterprise release calendar</t>
  </si>
  <si>
    <t>Every 15 days</t>
  </si>
  <si>
    <t>Every week</t>
  </si>
  <si>
    <t>Not applicable - Please share reasoning</t>
  </si>
  <si>
    <t>How long does it take to restore the service/application when a service incident occur (e.g. unplanned outage, service impairment, etc.)</t>
  </si>
  <si>
    <t>No pattern</t>
  </si>
  <si>
    <t>Yes, all possible places</t>
  </si>
  <si>
    <t>Yes, at some places</t>
  </si>
  <si>
    <t>Yes, at all places in application</t>
  </si>
  <si>
    <t>Yes, only some part of application</t>
  </si>
  <si>
    <t>Ops team figures out itself</t>
  </si>
  <si>
    <t>If there is a separate ops team, how soon are they get involved with development?</t>
  </si>
  <si>
    <t>We prepare documentation and organize extensive information transfer at the end of/after development</t>
  </si>
  <si>
    <t>Remark</t>
  </si>
  <si>
    <t>Each answer of each question has some points which add up to determine the maturity of a team (% marks out of maximum marks)</t>
  </si>
  <si>
    <t>There is no -ve marking</t>
  </si>
  <si>
    <t>This a work in progress, please let us know how it can be improved.</t>
  </si>
  <si>
    <t>Result should be represented as radar chart</t>
  </si>
  <si>
    <t>Key in the input</t>
  </si>
  <si>
    <t>Select one</t>
  </si>
  <si>
    <t>Select multiple</t>
  </si>
  <si>
    <t>Key in the remarks</t>
  </si>
  <si>
    <t xml:space="preserve">To start with, a team should fill this survey as collective once during iteration/sprint (retro is a good time). </t>
  </si>
  <si>
    <t>Over time period it is expected that teams will be filling this workbook once in a quarter</t>
  </si>
  <si>
    <t>Scoring model is under development</t>
  </si>
  <si>
    <t>Team may decide to focus on one or more competencies (each tab represent a competency) for a duration of an iteration/sprint. In this case, team should fill only respective sheet/s.</t>
  </si>
  <si>
    <t xml:space="preserve">This tool assumes that team is ustilizing Scrum or Kanban or SAFe framework. </t>
  </si>
  <si>
    <t>&gt;80%</t>
  </si>
  <si>
    <t>Does team keep application code in version control systems</t>
  </si>
  <si>
    <t>Version Control System</t>
  </si>
  <si>
    <t>Does team keep application level configurations in version control system</t>
  </si>
  <si>
    <t>Does team keep database scripts in version control system</t>
  </si>
  <si>
    <t>Does team keep test cases in version control system</t>
  </si>
  <si>
    <t>Does team keep test data in version control system</t>
  </si>
  <si>
    <t>Check-in policy</t>
  </si>
  <si>
    <t>In a typical iteration/sprint, when do branches forked?</t>
  </si>
  <si>
    <t>In a typical iteration/sprint, when do the most of the merges performed?</t>
  </si>
  <si>
    <t>When do you check in your code/artifact?</t>
  </si>
  <si>
    <t>Do developers write unit tests?</t>
  </si>
  <si>
    <t>Do unit tests authored like code?</t>
  </si>
  <si>
    <t>Are unit tests part of Definition of Done?</t>
  </si>
  <si>
    <t>How much code is written using TDD?</t>
  </si>
  <si>
    <t>&lt;10%</t>
  </si>
  <si>
    <t>10 to 25%</t>
  </si>
  <si>
    <t>26 to 50%</t>
  </si>
  <si>
    <t>50 to 80%</t>
  </si>
  <si>
    <t>&gt; 80%</t>
  </si>
  <si>
    <t>Is static code review tool configured in IDE of each developer?</t>
  </si>
  <si>
    <t>No - it is configured at build level</t>
  </si>
  <si>
    <t>No - static code analysis tool is not used</t>
  </si>
  <si>
    <t>No - Static code analysis tool is not used in IDE</t>
  </si>
  <si>
    <t>Static code analysis</t>
  </si>
  <si>
    <t>Code Review</t>
  </si>
  <si>
    <t>We do not perform code review</t>
  </si>
  <si>
    <t>Is process/work flow of code review automated?</t>
  </si>
  <si>
    <t>Randomly assigned within team</t>
  </si>
  <si>
    <t>What are the criteria for code review assignment?</t>
  </si>
  <si>
    <t>Based on availability of people</t>
  </si>
  <si>
    <t>How does it decided to review a specific piece of code for review?</t>
  </si>
  <si>
    <t>Randomly</t>
  </si>
  <si>
    <t>51 to 80%</t>
  </si>
  <si>
    <t>Rating</t>
  </si>
  <si>
    <t>Rate the parameters, a code reviewer focuses on</t>
  </si>
  <si>
    <t>Code Quality (Miscellaneous)</t>
  </si>
  <si>
    <t>Does team perform code refactoring?</t>
  </si>
  <si>
    <t>Which code is refactored?</t>
  </si>
  <si>
    <t>Code which changes frequently</t>
  </si>
  <si>
    <t>Driven by  Technical debet reduction</t>
  </si>
  <si>
    <t>Code which produced largest number of defects in recent past</t>
  </si>
  <si>
    <t>Only select people do the review</t>
  </si>
  <si>
    <t>Is technical debt tracked</t>
  </si>
  <si>
    <t>We periodically launch refactoring projects</t>
  </si>
  <si>
    <t>How do you make sure that code is maintainable and robust?</t>
  </si>
  <si>
    <t>How do you manage code dependencies across teams?</t>
  </si>
  <si>
    <t>Metrics</t>
  </si>
  <si>
    <t>Essential complexity</t>
  </si>
  <si>
    <t>Method Cohesion</t>
  </si>
  <si>
    <t>We do not measure code quality metrics</t>
  </si>
  <si>
    <t xml:space="preserve">Where are the code quality metrics discussed? </t>
  </si>
  <si>
    <t>How does the application packaged?</t>
  </si>
  <si>
    <t>Do we have organization approved repository to download libraries?</t>
  </si>
  <si>
    <t>Yes, it is quite comprehensive and serves us well</t>
  </si>
  <si>
    <t>Yes, but it does not what have we require</t>
  </si>
  <si>
    <t>We request and almost immediately, library is made available</t>
  </si>
  <si>
    <t>We request and it take time to get that particular library, which affect team's productivity</t>
  </si>
  <si>
    <t>We just download and use it</t>
  </si>
  <si>
    <t>No, there is no such repository</t>
  </si>
  <si>
    <t>Is build created when ever code checked-in?</t>
  </si>
  <si>
    <t>Does successful build definition include no compilation errors and error free unit test cases suit execution?</t>
  </si>
  <si>
    <t>Is there an information radiator and notification to all team members for status of build?</t>
  </si>
  <si>
    <t>Are functional tests are written in parallel to development of code?</t>
  </si>
  <si>
    <t>We do not automate functional test cases</t>
  </si>
  <si>
    <t>Yes, for almost full code base</t>
  </si>
  <si>
    <t>Do automated functional test cases marked for smoke testing?</t>
  </si>
  <si>
    <t>During an iteration/sprint how many times, security regression test suit is executed?</t>
  </si>
  <si>
    <t>Do automated security test cases marked for smoke testing?</t>
  </si>
  <si>
    <t>Are security tests are written in parallel or prior to development of code?</t>
  </si>
  <si>
    <t>Are functional test cases executed during development of code?</t>
  </si>
  <si>
    <t>Are security test cases executed during development of code?</t>
  </si>
  <si>
    <t>Does one of the team member load test data in the dev env?</t>
  </si>
  <si>
    <t>Does one of the team member load test data in the test env?</t>
  </si>
  <si>
    <t>Does one of the team member load test data in the stg env?</t>
  </si>
  <si>
    <t>Does one of the team member extract or create test data?</t>
  </si>
  <si>
    <t>Does one of the team member do test data massaging?</t>
  </si>
  <si>
    <t>Do test cases for UAT written in collaboration of team and business</t>
  </si>
  <si>
    <t>None - We don't perform UAT</t>
  </si>
  <si>
    <t>We don't perform UAT</t>
  </si>
  <si>
    <t>We don't perform scripted UAT</t>
  </si>
  <si>
    <t>Combination of scripted and wild west</t>
  </si>
  <si>
    <t>Duration</t>
  </si>
  <si>
    <t>Do you have a separate ops team?</t>
  </si>
  <si>
    <t>Does team alone or in collaboration of some other team create a new non-prd env, if required?</t>
  </si>
  <si>
    <t>Infrstructure</t>
  </si>
  <si>
    <t>Do we have infrastructure as code</t>
  </si>
  <si>
    <t>Under an hour</t>
  </si>
  <si>
    <t>An hour</t>
  </si>
  <si>
    <t>At how many locations, team members are located?</t>
  </si>
  <si>
    <t>Is team collocated?</t>
  </si>
  <si>
    <t>Does team has full time Scrum/Kanban Master</t>
  </si>
  <si>
    <t>What is in Version Control?</t>
  </si>
  <si>
    <t>There will be five level of maturity for the team. All questions all available to all teams at all levels of maturity.</t>
  </si>
  <si>
    <t>"Team" tab is just for information purpose. No scoring should be performed on this tab. It is assumed that Agile initiative is taking care of this tab's content.</t>
  </si>
  <si>
    <t>Do DevTeam members and Product Owner write down requirements in collaborative fashion?</t>
  </si>
  <si>
    <t>As soon as story is completed</t>
  </si>
  <si>
    <t>As soon as feature is completed</t>
  </si>
  <si>
    <t>Got</t>
  </si>
  <si>
    <t>Total</t>
  </si>
  <si>
    <t>Q1</t>
  </si>
  <si>
    <t>Q2</t>
  </si>
  <si>
    <t>Q3</t>
  </si>
  <si>
    <t>Q4</t>
  </si>
  <si>
    <t>Q5</t>
  </si>
  <si>
    <t>Q6</t>
  </si>
  <si>
    <t>Q7</t>
  </si>
  <si>
    <t>Q8</t>
  </si>
  <si>
    <t>Q9</t>
  </si>
  <si>
    <t>Q10</t>
  </si>
  <si>
    <t>Q11</t>
  </si>
  <si>
    <t>Q12</t>
  </si>
  <si>
    <t>Q13</t>
  </si>
  <si>
    <t>Q14</t>
  </si>
  <si>
    <t>Q15</t>
  </si>
  <si>
    <t>Q16</t>
  </si>
  <si>
    <r>
      <t>ratio of</t>
    </r>
    <r>
      <rPr>
        <b/>
        <sz val="11"/>
        <color theme="1"/>
        <rFont val="Calibri"/>
        <family val="2"/>
        <scheme val="minor"/>
      </rPr>
      <t xml:space="preserve"> "unit tests failed during build" </t>
    </r>
    <r>
      <rPr>
        <sz val="11"/>
        <color theme="1"/>
        <rFont val="Calibri"/>
        <family val="2"/>
        <scheme val="minor"/>
      </rPr>
      <t>and "</t>
    </r>
    <r>
      <rPr>
        <b/>
        <sz val="11"/>
        <color theme="1"/>
        <rFont val="Calibri"/>
        <family val="2"/>
        <scheme val="minor"/>
      </rPr>
      <t>total unit tests"</t>
    </r>
  </si>
  <si>
    <t>XXXXXXXXXXXXXXXXXX</t>
  </si>
  <si>
    <t>YYYYYYYYYYYYYYYYY</t>
  </si>
  <si>
    <t>Based on the programming language</t>
  </si>
  <si>
    <t>We perform 100% code review</t>
  </si>
  <si>
    <t>One Big package consists of several smaller packages</t>
  </si>
  <si>
    <t>Yes, we maintain it</t>
  </si>
  <si>
    <t>Q8.1</t>
  </si>
  <si>
    <t>Q8.2</t>
  </si>
  <si>
    <t>Q8.3</t>
  </si>
  <si>
    <t>Q8.4</t>
  </si>
  <si>
    <t>Complexity of the code</t>
  </si>
  <si>
    <t>Based on author of the code</t>
  </si>
  <si>
    <t>Never</t>
  </si>
  <si>
    <t>Occasionally</t>
  </si>
  <si>
    <t>Often</t>
  </si>
  <si>
    <t>Very often</t>
  </si>
  <si>
    <t>Always</t>
  </si>
  <si>
    <t>Driven by  Technical debt reduction</t>
  </si>
  <si>
    <t>Does version control system captures metadata (e.g. story #) during check in</t>
  </si>
  <si>
    <t>In a typical iteration/sprint, what is the average life span of a typical branch?</t>
  </si>
  <si>
    <t>Does team swarm in or multiple DevTeam members come together to rectify the failed build?</t>
  </si>
  <si>
    <t>What are the metrics derived from unit tests?</t>
  </si>
  <si>
    <t>Is static code review tool used?</t>
  </si>
  <si>
    <t>Does a common config file utilized for static code review tool for all of DevTeam members?</t>
  </si>
  <si>
    <t>Does team has written guidelines or tacit understanding on packaging?</t>
  </si>
  <si>
    <t>If we do not have a library required in the organization's repository, how do we get the one?</t>
  </si>
  <si>
    <t>Q17</t>
  </si>
  <si>
    <t>Q18</t>
  </si>
  <si>
    <t>Q19</t>
  </si>
  <si>
    <t>Q20</t>
  </si>
  <si>
    <t>Q21</t>
  </si>
  <si>
    <t>Q22</t>
  </si>
  <si>
    <t>Q23</t>
  </si>
  <si>
    <t>Q24</t>
  </si>
  <si>
    <t>Q25</t>
  </si>
  <si>
    <t>Q26</t>
  </si>
  <si>
    <t>Q27</t>
  </si>
  <si>
    <t>Q28</t>
  </si>
  <si>
    <t>Q29</t>
  </si>
  <si>
    <t>Q30</t>
  </si>
  <si>
    <t>Q31</t>
  </si>
  <si>
    <t>Q32</t>
  </si>
  <si>
    <t>Q33</t>
  </si>
  <si>
    <t>Q34</t>
  </si>
  <si>
    <t>Q35</t>
  </si>
  <si>
    <t>Q36</t>
  </si>
  <si>
    <t>Q37</t>
  </si>
  <si>
    <t>Q38</t>
  </si>
  <si>
    <t>Q39</t>
  </si>
  <si>
    <t>Q40</t>
  </si>
  <si>
    <t>Q41</t>
  </si>
  <si>
    <t>Do functional test cases automated in the current iteration/sprint?</t>
  </si>
  <si>
    <t>Do team members share functional test writing responsibility?</t>
  </si>
  <si>
    <t>Do team members share security test writing responsibility?</t>
  </si>
  <si>
    <t>At the end of iteration/sprint</t>
  </si>
  <si>
    <t>Two times in an iteration/sprint</t>
  </si>
  <si>
    <t>Do security test cases automated in the current iteration/sprint?</t>
  </si>
  <si>
    <t>Do team members share functional test automation responsibility?</t>
  </si>
  <si>
    <t>Do team members share security test automation responsibility?</t>
  </si>
  <si>
    <t>Are load/performance tests are marked prior or during development of code?</t>
  </si>
  <si>
    <t>Does automated smoke test suite executed after each deployment?</t>
  </si>
  <si>
    <t>Is test data refreshed whenever team demands for it?</t>
  </si>
  <si>
    <t>Are ambassador uses have access to ambassador env?</t>
  </si>
  <si>
    <t>Q5.1</t>
  </si>
  <si>
    <t>Q5.2</t>
  </si>
  <si>
    <t>Q5.3</t>
  </si>
  <si>
    <t>Q5.4</t>
  </si>
  <si>
    <t>Q9.1</t>
  </si>
  <si>
    <t>Q9.2</t>
  </si>
  <si>
    <t>Q9.3</t>
  </si>
  <si>
    <t>Q9.4</t>
  </si>
  <si>
    <t>Q10.1</t>
  </si>
  <si>
    <t>Q10.2</t>
  </si>
  <si>
    <t>Q10.3</t>
  </si>
  <si>
    <t>Q10.4</t>
  </si>
  <si>
    <t>Q11.1</t>
  </si>
  <si>
    <t>Q11.2</t>
  </si>
  <si>
    <t>Q11.3</t>
  </si>
  <si>
    <t>Q11.4</t>
  </si>
  <si>
    <t>Q12.1</t>
  </si>
  <si>
    <t>Q12.2</t>
  </si>
  <si>
    <t>Q12.3</t>
  </si>
  <si>
    <t>Q12.4</t>
  </si>
  <si>
    <t>Q13.1</t>
  </si>
  <si>
    <t>Q13.2</t>
  </si>
  <si>
    <t>Q13.3</t>
  </si>
  <si>
    <t>Q13.4</t>
  </si>
  <si>
    <t>Q14.1</t>
  </si>
  <si>
    <t>Q14.2</t>
  </si>
  <si>
    <t>Q14.3</t>
  </si>
  <si>
    <t>Q14.4</t>
  </si>
  <si>
    <t>Q15.1</t>
  </si>
  <si>
    <t>Q15.2</t>
  </si>
  <si>
    <t>Q15.3</t>
  </si>
  <si>
    <t>Q16.1</t>
  </si>
  <si>
    <t>Q16.2</t>
  </si>
  <si>
    <t>Q16.3</t>
  </si>
  <si>
    <t>Are deployment scripts are common across environments?</t>
  </si>
  <si>
    <t>Do we verify log files after each deployment?</t>
  </si>
  <si>
    <t>What is the scale of env with respect to prd env?</t>
  </si>
  <si>
    <t>Which env is similar (not scale) to prd?</t>
  </si>
  <si>
    <t>Does performance/load regression test suite executed after deployment?</t>
  </si>
  <si>
    <t>Does security regression test suite executed after deployment?</t>
  </si>
  <si>
    <t>Does functional regression test suite executed after deployment?</t>
  </si>
  <si>
    <t>Does exploratory testing performed after deployment?</t>
  </si>
  <si>
    <t>How much time a typical deployment take?</t>
  </si>
  <si>
    <t>Are smoke test cases executed after deployment?</t>
  </si>
  <si>
    <t>Is deployment single click in prd environment?</t>
  </si>
  <si>
    <t>How much time it take to configure a new env in deployment tool?</t>
  </si>
  <si>
    <t>How many approvals are required at each env to deploy?</t>
  </si>
  <si>
    <t>Does application support hot deployment?</t>
  </si>
  <si>
    <t>Does application support containerization?</t>
  </si>
  <si>
    <t>Is monitoring able to distinguish the most critical and recurrent problems and how they impact business services, without lengthy configuration and base lining?</t>
  </si>
  <si>
    <t>Do business and technical teams get notifications for potentially problematic events?</t>
  </si>
  <si>
    <t>Is environmental configuration details are in version control system?</t>
  </si>
  <si>
    <t>Are environment creation scripts are parameterized to take care of scale?</t>
  </si>
  <si>
    <t>What % of load/performance test cases are automated?</t>
  </si>
  <si>
    <t>Does team has load/performance regression test suit?</t>
  </si>
  <si>
    <t>Does team has automated load/performance regression test suit?</t>
  </si>
  <si>
    <t>During an iteration/sprint how many times, load/performance regression test suit is executed?</t>
  </si>
  <si>
    <t>Do load/performance test cases automated in the current iteration/sprint?</t>
  </si>
  <si>
    <t>How versatile is automated load/performance regression test suite?</t>
  </si>
  <si>
    <t>Do team members share load/performance test writing responsibility?</t>
  </si>
  <si>
    <t>Do team members share load/performance test automation responsibility?</t>
  </si>
  <si>
    <t>Do automated load/performance test cases marked for smoke testing?</t>
  </si>
  <si>
    <t>Those whose code is getting merged</t>
  </si>
  <si>
    <t>Team tracks to continuously improve the self</t>
  </si>
  <si>
    <t>Randomly assigned within team and sometime beyond team</t>
  </si>
  <si>
    <t>Rarely</t>
  </si>
  <si>
    <t>We avoid technical debt at all costs by continuous design review</t>
  </si>
  <si>
    <t>Class Hierarchy Level</t>
  </si>
  <si>
    <t>Available on team's dash board for everyone to look into</t>
  </si>
  <si>
    <t>Each feature/functionality and component has its own package and then theses packages are NOT packaged into one package.</t>
  </si>
  <si>
    <t>Sometime</t>
  </si>
  <si>
    <t>Yes, we  pass parameters as per environment under consideration</t>
  </si>
  <si>
    <t>Yes, if deployment has some issue</t>
  </si>
  <si>
    <t>Yes, all the time (even when deployment is successful)</t>
  </si>
  <si>
    <t>Examples of cycle time drivers - number of commits in trunk in a week or a day, number of successful builds in a week or a day, duration for a full regression, etc.</t>
  </si>
  <si>
    <t>Yes, newer code incorporates</t>
  </si>
  <si>
    <t>We have separate teams but sit together, so Ops team observe us (dev team) all the time</t>
  </si>
  <si>
    <t>We involve Ops team members from very starting</t>
  </si>
  <si>
    <t>Couple of weeks</t>
  </si>
  <si>
    <t>No, We don't perform scripted UAT</t>
  </si>
  <si>
    <t>Few Days</t>
  </si>
  <si>
    <t>We do not have capability to mark individual or group of tests for execution</t>
  </si>
  <si>
    <t xml:space="preserve">We can mark individual test to be executed </t>
  </si>
  <si>
    <t>We can mark groups of tests to be executed</t>
  </si>
  <si>
    <t>Q42</t>
  </si>
  <si>
    <t>With in two weeks</t>
  </si>
  <si>
    <t>Area</t>
  </si>
  <si>
    <t>Score</t>
  </si>
  <si>
    <t>This assessment is one of the tool to assess DevOps adoption maturity of a team.  Some other tools include
   # Various metrics collected and their trend analysis
   # Savings in lead time using value stream</t>
  </si>
  <si>
    <t>To provide data for this assessment, following color coding is used:</t>
  </si>
  <si>
    <t>"Team" tab is just for information purpose. No scoring is performed on this tab. It is assumed that Agile initiative is taking care of this tab's content.</t>
  </si>
  <si>
    <t>There is no negative scoring.</t>
  </si>
  <si>
    <t>Result of the assessment is depicted as single Radar Chart at "Result" tab</t>
  </si>
  <si>
    <t>While taking this assessment first time, fill up all tabs. During subsequent assessment, provide the data only for the area (tab) focused. For example a team may decide to focus on Version Control and Build during upcomming PI. In thius case team should make a copy of previous assessment and provide the input for Version Control and Build tabs only.</t>
  </si>
  <si>
    <r>
      <t xml:space="preserve">Do DevTeam members and Product Owner interact with </t>
    </r>
    <r>
      <rPr>
        <b/>
        <sz val="11"/>
        <color theme="1"/>
        <rFont val="Calibri"/>
        <family val="2"/>
        <scheme val="minor"/>
      </rPr>
      <t>users</t>
    </r>
    <r>
      <rPr>
        <sz val="11"/>
        <color theme="1"/>
        <rFont val="Calibri"/>
        <family val="2"/>
        <scheme val="minor"/>
      </rPr>
      <t xml:space="preserve"> to collect requirement?</t>
    </r>
  </si>
  <si>
    <r>
      <t xml:space="preserve">Do DevTeam members and Product Owner interact with </t>
    </r>
    <r>
      <rPr>
        <b/>
        <sz val="11"/>
        <color theme="1"/>
        <rFont val="Calibri"/>
        <family val="2"/>
        <scheme val="minor"/>
      </rPr>
      <t>customers</t>
    </r>
    <r>
      <rPr>
        <sz val="11"/>
        <color theme="1"/>
        <rFont val="Calibri"/>
        <family val="2"/>
        <scheme val="minor"/>
      </rPr>
      <t xml:space="preserve"> to collect requirement?</t>
    </r>
  </si>
  <si>
    <t>Does check-in kick off build process?</t>
  </si>
  <si>
    <t>Do developers execute unit tests?</t>
  </si>
  <si>
    <t>What are the metrics captured with respect to code quality</t>
  </si>
  <si>
    <t>Is orchestration engine (e.g. Jenkins) used for deployment?</t>
  </si>
  <si>
    <t>Are independent scripts used for deployment (without orchestration engine)?</t>
  </si>
  <si>
    <t>Does application transmits/logs/provides hooks to capture events and/or execution path?</t>
  </si>
  <si>
    <t>Do we use Dark releases?</t>
  </si>
  <si>
    <t>Do we have release numbering scheme?</t>
  </si>
  <si>
    <t>Can we trace cycle time of a requirement (requirement to code in prd)?</t>
  </si>
  <si>
    <t>How many times, team releases its application?</t>
  </si>
  <si>
    <t>Can a defect to deployed code in prd be traced end to end?</t>
  </si>
  <si>
    <t>Can a requirement to deployed code in prd be traced end to end?</t>
  </si>
  <si>
    <t>Do we use Blue Green deployment?</t>
  </si>
  <si>
    <t>Do we use Canary (A/B) releases?</t>
  </si>
  <si>
    <t>Does team follow the branching and merging guidelines enumerated in DevOps Playbook?</t>
  </si>
</sst>
</file>

<file path=xl/styles.xml><?xml version="1.0" encoding="utf-8"?>
<styleSheet xmlns="http://schemas.openxmlformats.org/spreadsheetml/2006/main" xmlns:mc="http://schemas.openxmlformats.org/markup-compatibility/2006" xmlns:x14ac="http://schemas.microsoft.com/office/spreadsheetml/2009/9/ac" mc:Ignorable="x14ac">
  <fonts count="14" x14ac:knownFonts="1">
    <font>
      <sz val="11"/>
      <color theme="1"/>
      <name val="Calibri"/>
      <family val="2"/>
      <scheme val="minor"/>
    </font>
    <font>
      <b/>
      <sz val="11"/>
      <color theme="1"/>
      <name val="Calibri"/>
      <family val="2"/>
      <scheme val="minor"/>
    </font>
    <font>
      <sz val="11"/>
      <name val="Calibri"/>
      <family val="2"/>
      <scheme val="minor"/>
    </font>
    <font>
      <b/>
      <sz val="11"/>
      <color rgb="FFFF0000"/>
      <name val="Calibri"/>
      <family val="2"/>
      <scheme val="minor"/>
    </font>
    <font>
      <sz val="9"/>
      <color indexed="81"/>
      <name val="Tahoma"/>
      <family val="2"/>
    </font>
    <font>
      <b/>
      <sz val="9"/>
      <color indexed="81"/>
      <name val="Tahoma"/>
      <family val="2"/>
    </font>
    <font>
      <b/>
      <sz val="14"/>
      <color theme="1"/>
      <name val="Calibri"/>
      <family val="2"/>
      <scheme val="minor"/>
    </font>
    <font>
      <b/>
      <sz val="18"/>
      <color theme="1"/>
      <name val="Calibri"/>
      <family val="2"/>
      <scheme val="minor"/>
    </font>
    <font>
      <b/>
      <sz val="20"/>
      <color theme="1"/>
      <name val="Calibri"/>
      <family val="2"/>
      <scheme val="minor"/>
    </font>
    <font>
      <sz val="11"/>
      <color rgb="FF000000"/>
      <name val="Calibri"/>
      <family val="2"/>
      <scheme val="minor"/>
    </font>
    <font>
      <b/>
      <sz val="11"/>
      <color rgb="FF000000"/>
      <name val="Calibri"/>
      <family val="2"/>
      <scheme val="minor"/>
    </font>
    <font>
      <b/>
      <sz val="18"/>
      <color theme="0"/>
      <name val="Calibri"/>
      <family val="2"/>
      <scheme val="minor"/>
    </font>
    <font>
      <sz val="9"/>
      <color indexed="81"/>
      <name val="Tahoma"/>
      <charset val="1"/>
    </font>
    <font>
      <b/>
      <sz val="9"/>
      <color indexed="81"/>
      <name val="Tahoma"/>
      <charset val="1"/>
    </font>
  </fonts>
  <fills count="7">
    <fill>
      <patternFill patternType="none"/>
    </fill>
    <fill>
      <patternFill patternType="gray125"/>
    </fill>
    <fill>
      <patternFill patternType="solid">
        <fgColor theme="9" tint="0.79998168889431442"/>
        <bgColor indexed="64"/>
      </patternFill>
    </fill>
    <fill>
      <patternFill patternType="solid">
        <fgColor theme="7" tint="0.79998168889431442"/>
        <bgColor indexed="64"/>
      </patternFill>
    </fill>
    <fill>
      <patternFill patternType="solid">
        <fgColor theme="2"/>
        <bgColor indexed="64"/>
      </patternFill>
    </fill>
    <fill>
      <patternFill patternType="solid">
        <fgColor rgb="FF4BD0FF"/>
        <bgColor indexed="64"/>
      </patternFill>
    </fill>
    <fill>
      <patternFill patternType="solid">
        <fgColor theme="1"/>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s>
  <cellStyleXfs count="1">
    <xf numFmtId="0" fontId="0" fillId="0" borderId="0"/>
  </cellStyleXfs>
  <cellXfs count="93">
    <xf numFmtId="0" fontId="0" fillId="0" borderId="0" xfId="0"/>
    <xf numFmtId="0" fontId="0" fillId="0" borderId="0" xfId="0" applyAlignment="1">
      <alignment wrapText="1"/>
    </xf>
    <xf numFmtId="0" fontId="1" fillId="0" borderId="0" xfId="0" applyFont="1" applyAlignment="1">
      <alignment horizontal="center"/>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left" vertical="center"/>
    </xf>
    <xf numFmtId="0" fontId="0" fillId="0" borderId="0" xfId="0" applyAlignment="1">
      <alignment horizontal="left"/>
    </xf>
    <xf numFmtId="0" fontId="0" fillId="0" borderId="1" xfId="0" applyBorder="1"/>
    <xf numFmtId="0" fontId="0" fillId="0" borderId="1" xfId="0" applyBorder="1" applyAlignment="1">
      <alignment horizontal="left"/>
    </xf>
    <xf numFmtId="0" fontId="0" fillId="2" borderId="1" xfId="0" applyFill="1" applyBorder="1" applyAlignment="1">
      <alignment horizontal="center" vertical="center"/>
    </xf>
    <xf numFmtId="0" fontId="0" fillId="3" borderId="1" xfId="0" applyFill="1" applyBorder="1" applyAlignment="1">
      <alignment horizontal="center" vertical="center"/>
    </xf>
    <xf numFmtId="0" fontId="0" fillId="0" borderId="1" xfId="0" applyFont="1" applyBorder="1"/>
    <xf numFmtId="0" fontId="0" fillId="2" borderId="1" xfId="0" applyFill="1" applyBorder="1"/>
    <xf numFmtId="0" fontId="0" fillId="0" borderId="1" xfId="0" applyBorder="1" applyAlignment="1">
      <alignment wrapText="1"/>
    </xf>
    <xf numFmtId="0" fontId="0" fillId="2" borderId="1" xfId="0" applyFill="1" applyBorder="1" applyAlignment="1">
      <alignment wrapText="1"/>
    </xf>
    <xf numFmtId="0" fontId="1" fillId="0" borderId="1" xfId="0" applyFont="1" applyBorder="1" applyAlignment="1">
      <alignment horizontal="center" vertical="center" wrapText="1"/>
    </xf>
    <xf numFmtId="0" fontId="0" fillId="3" borderId="1" xfId="0" applyFill="1" applyBorder="1" applyAlignment="1">
      <alignment wrapText="1"/>
    </xf>
    <xf numFmtId="0" fontId="2" fillId="3" borderId="1" xfId="0" applyFont="1" applyFill="1" applyBorder="1" applyAlignment="1">
      <alignment horizontal="center" vertical="center"/>
    </xf>
    <xf numFmtId="0" fontId="0" fillId="0" borderId="0" xfId="0" applyFill="1"/>
    <xf numFmtId="0" fontId="0" fillId="3" borderId="2" xfId="0" applyFill="1" applyBorder="1"/>
    <xf numFmtId="0" fontId="0" fillId="2" borderId="3" xfId="0" applyFill="1" applyBorder="1"/>
    <xf numFmtId="0" fontId="0" fillId="4" borderId="1" xfId="0" applyFill="1" applyBorder="1" applyAlignment="1">
      <alignment horizontal="left"/>
    </xf>
    <xf numFmtId="0" fontId="0" fillId="5" borderId="3" xfId="0" applyFill="1" applyBorder="1"/>
    <xf numFmtId="0" fontId="0" fillId="4" borderId="4" xfId="0" applyFill="1" applyBorder="1" applyAlignment="1">
      <alignment horizontal="left"/>
    </xf>
    <xf numFmtId="0" fontId="0" fillId="4" borderId="1" xfId="0" applyFill="1" applyBorder="1" applyAlignment="1">
      <alignment horizontal="left" vertical="center"/>
    </xf>
    <xf numFmtId="0" fontId="0" fillId="4" borderId="1" xfId="0" applyFill="1" applyBorder="1" applyAlignment="1">
      <alignment wrapText="1"/>
    </xf>
    <xf numFmtId="0" fontId="1" fillId="0" borderId="0" xfId="0" applyFont="1" applyAlignment="1">
      <alignment horizontal="center" vertical="center" wrapText="1"/>
    </xf>
    <xf numFmtId="0" fontId="0" fillId="0" borderId="1" xfId="0" applyBorder="1" applyAlignment="1">
      <alignment horizontal="left" vertical="center"/>
    </xf>
    <xf numFmtId="0" fontId="0" fillId="0" borderId="0" xfId="0" applyBorder="1"/>
    <xf numFmtId="0" fontId="0" fillId="0" borderId="0" xfId="0" applyAlignment="1">
      <alignment vertical="center" wrapText="1"/>
    </xf>
    <xf numFmtId="0" fontId="0" fillId="0" borderId="0" xfId="0" applyAlignment="1">
      <alignment horizontal="left" vertical="center" wrapText="1"/>
    </xf>
    <xf numFmtId="0" fontId="0" fillId="0" borderId="0" xfId="0" applyBorder="1" applyAlignment="1">
      <alignment wrapText="1"/>
    </xf>
    <xf numFmtId="0" fontId="0" fillId="0" borderId="0" xfId="0" applyFill="1" applyAlignment="1">
      <alignment horizontal="left" vertical="center" wrapText="1"/>
    </xf>
    <xf numFmtId="0" fontId="0" fillId="0" borderId="0" xfId="0" applyBorder="1" applyAlignment="1">
      <alignment horizontal="left" vertical="center"/>
    </xf>
    <xf numFmtId="0" fontId="0" fillId="0" borderId="0" xfId="0" applyBorder="1" applyAlignment="1">
      <alignment horizontal="left"/>
    </xf>
    <xf numFmtId="0" fontId="0" fillId="0" borderId="1" xfId="0" applyFill="1" applyBorder="1"/>
    <xf numFmtId="0" fontId="0" fillId="0" borderId="0" xfId="0" applyBorder="1" applyAlignment="1">
      <alignment horizontal="left" vertical="center" wrapText="1"/>
    </xf>
    <xf numFmtId="0" fontId="0" fillId="2" borderId="1" xfId="0" applyFont="1" applyFill="1" applyBorder="1"/>
    <xf numFmtId="0" fontId="0" fillId="0" borderId="1" xfId="0" applyFill="1" applyBorder="1" applyAlignment="1">
      <alignment wrapText="1"/>
    </xf>
    <xf numFmtId="0" fontId="0" fillId="0" borderId="1" xfId="0" applyBorder="1" applyAlignment="1">
      <alignment horizontal="left" vertical="center" wrapText="1"/>
    </xf>
    <xf numFmtId="0" fontId="1" fillId="0" borderId="0" xfId="0" applyFont="1" applyAlignment="1">
      <alignment horizontal="center" vertical="center" wrapText="1"/>
    </xf>
    <xf numFmtId="0" fontId="1" fillId="0" borderId="0" xfId="0" applyFont="1" applyAlignment="1">
      <alignment horizontal="center" vertical="center" wrapText="1"/>
    </xf>
    <xf numFmtId="0" fontId="7" fillId="0" borderId="0" xfId="0" applyFont="1"/>
    <xf numFmtId="0" fontId="0" fillId="0" borderId="0" xfId="0" applyBorder="1" applyAlignment="1">
      <alignment horizontal="center" vertical="center"/>
    </xf>
    <xf numFmtId="0" fontId="0" fillId="0" borderId="0" xfId="0" applyFill="1" applyBorder="1" applyAlignment="1">
      <alignment horizontal="center" vertical="center"/>
    </xf>
    <xf numFmtId="0" fontId="0" fillId="0" borderId="0" xfId="0" applyBorder="1" applyAlignment="1">
      <alignment horizontal="center" vertical="center" wrapText="1"/>
    </xf>
    <xf numFmtId="0" fontId="0" fillId="0" borderId="0" xfId="0" applyAlignment="1">
      <alignment horizontal="center" vertical="center" wrapText="1"/>
    </xf>
    <xf numFmtId="0" fontId="6" fillId="0" borderId="0" xfId="0" applyFont="1" applyAlignment="1">
      <alignment horizontal="center" vertical="center" wrapText="1"/>
    </xf>
    <xf numFmtId="0" fontId="0" fillId="4" borderId="1" xfId="0" applyFill="1" applyBorder="1" applyAlignment="1">
      <alignment horizontal="left" vertical="center" wrapText="1"/>
    </xf>
    <xf numFmtId="0" fontId="0" fillId="0" borderId="0" xfId="0" applyBorder="1" applyAlignment="1">
      <alignment vertical="center"/>
    </xf>
    <xf numFmtId="0" fontId="0" fillId="0" borderId="0" xfId="0" applyFill="1" applyBorder="1" applyAlignment="1">
      <alignment vertical="center"/>
    </xf>
    <xf numFmtId="0" fontId="0" fillId="0" borderId="0" xfId="0" applyAlignment="1">
      <alignment vertical="center"/>
    </xf>
    <xf numFmtId="0" fontId="0" fillId="4" borderId="1" xfId="0" applyFill="1" applyBorder="1" applyAlignment="1">
      <alignment horizontal="left" vertical="center" wrapText="1"/>
    </xf>
    <xf numFmtId="0" fontId="0" fillId="2" borderId="6" xfId="0" applyFill="1" applyBorder="1"/>
    <xf numFmtId="0" fontId="9" fillId="0" borderId="1" xfId="0" applyFont="1" applyBorder="1" applyAlignment="1">
      <alignment vertical="center"/>
    </xf>
    <xf numFmtId="0" fontId="9" fillId="0" borderId="1" xfId="0" applyFont="1" applyBorder="1" applyAlignment="1">
      <alignment vertical="center" wrapText="1"/>
    </xf>
    <xf numFmtId="0" fontId="0" fillId="2" borderId="6" xfId="0" applyFill="1" applyBorder="1" applyAlignment="1">
      <alignment wrapText="1"/>
    </xf>
    <xf numFmtId="0" fontId="1" fillId="0" borderId="6" xfId="0" applyFont="1" applyBorder="1" applyAlignment="1">
      <alignment horizontal="center" vertical="center" wrapText="1"/>
    </xf>
    <xf numFmtId="0" fontId="10" fillId="0" borderId="1" xfId="0" applyFont="1" applyBorder="1" applyAlignment="1">
      <alignment horizontal="center" vertical="center" wrapText="1"/>
    </xf>
    <xf numFmtId="0" fontId="0" fillId="0" borderId="6" xfId="0" applyBorder="1" applyAlignment="1">
      <alignment wrapText="1"/>
    </xf>
    <xf numFmtId="0" fontId="0" fillId="0" borderId="5" xfId="0" applyFill="1" applyBorder="1" applyAlignment="1">
      <alignment vertical="center" wrapText="1"/>
    </xf>
    <xf numFmtId="0" fontId="0" fillId="0" borderId="6" xfId="0" applyFill="1" applyBorder="1" applyAlignment="1">
      <alignment vertical="center" wrapText="1"/>
    </xf>
    <xf numFmtId="0" fontId="9" fillId="0" borderId="1" xfId="0" applyFont="1" applyBorder="1" applyAlignment="1">
      <alignment horizontal="left" vertical="center"/>
    </xf>
    <xf numFmtId="0" fontId="0" fillId="0" borderId="0" xfId="0" applyFill="1" applyBorder="1" applyAlignment="1">
      <alignment horizontal="left"/>
    </xf>
    <xf numFmtId="0" fontId="0" fillId="0" borderId="0" xfId="0" applyAlignment="1">
      <alignment horizontal="left" wrapText="1"/>
    </xf>
    <xf numFmtId="0" fontId="0" fillId="0" borderId="0" xfId="0" applyBorder="1" applyAlignment="1">
      <alignment horizontal="left" wrapText="1"/>
    </xf>
    <xf numFmtId="0" fontId="10" fillId="0" borderId="1" xfId="0" applyFont="1" applyBorder="1" applyAlignment="1">
      <alignment horizontal="left" vertical="center"/>
    </xf>
    <xf numFmtId="1" fontId="8" fillId="0" borderId="0" xfId="0" applyNumberFormat="1" applyFont="1" applyAlignment="1">
      <alignment vertical="center" wrapText="1"/>
    </xf>
    <xf numFmtId="1" fontId="0" fillId="0" borderId="0" xfId="0" applyNumberFormat="1" applyAlignment="1">
      <alignment horizontal="center" vertical="center"/>
    </xf>
    <xf numFmtId="0" fontId="6" fillId="0" borderId="0" xfId="0" applyFont="1" applyAlignment="1">
      <alignment horizontal="center" vertical="center"/>
    </xf>
    <xf numFmtId="0" fontId="11" fillId="6" borderId="0" xfId="0" applyFont="1" applyFill="1" applyAlignment="1">
      <alignment horizontal="center" vertical="center"/>
    </xf>
    <xf numFmtId="0" fontId="0" fillId="0" borderId="1" xfId="0" applyBorder="1" applyAlignment="1">
      <alignment horizontal="left" vertical="center" wrapText="1"/>
    </xf>
    <xf numFmtId="0" fontId="0" fillId="4" borderId="1" xfId="0" applyFill="1" applyBorder="1" applyAlignment="1">
      <alignment horizontal="left" vertical="center" wrapText="1"/>
    </xf>
    <xf numFmtId="0" fontId="6" fillId="0" borderId="0" xfId="0" applyFont="1" applyAlignment="1">
      <alignment horizontal="center" vertical="center"/>
    </xf>
    <xf numFmtId="1" fontId="8" fillId="0" borderId="0" xfId="0" applyNumberFormat="1" applyFont="1" applyAlignment="1">
      <alignment horizontal="center" vertical="center" wrapText="1"/>
    </xf>
    <xf numFmtId="0" fontId="0" fillId="4" borderId="5" xfId="0" applyFill="1" applyBorder="1" applyAlignment="1">
      <alignment horizontal="left" vertical="center"/>
    </xf>
    <xf numFmtId="0" fontId="0" fillId="4" borderId="6" xfId="0" applyFill="1" applyBorder="1" applyAlignment="1">
      <alignment horizontal="left" vertical="center"/>
    </xf>
    <xf numFmtId="0" fontId="0" fillId="0" borderId="1" xfId="0" applyBorder="1" applyAlignment="1">
      <alignment horizontal="left" vertical="center"/>
    </xf>
    <xf numFmtId="0" fontId="1" fillId="0" borderId="0" xfId="0" applyFont="1" applyBorder="1" applyAlignment="1">
      <alignment horizontal="center" vertical="center"/>
    </xf>
    <xf numFmtId="0" fontId="0" fillId="4" borderId="5" xfId="0" applyFill="1" applyBorder="1" applyAlignment="1">
      <alignment horizontal="left" vertical="center" wrapText="1"/>
    </xf>
    <xf numFmtId="0" fontId="0" fillId="4" borderId="6" xfId="0" applyFill="1" applyBorder="1" applyAlignment="1">
      <alignment horizontal="left" vertical="center" wrapText="1"/>
    </xf>
    <xf numFmtId="0" fontId="0" fillId="0" borderId="1" xfId="0" applyBorder="1" applyAlignment="1">
      <alignment horizontal="left" vertical="center" wrapText="1"/>
    </xf>
    <xf numFmtId="0" fontId="1" fillId="0" borderId="0" xfId="0" applyFont="1" applyAlignment="1">
      <alignment horizontal="center" vertical="center" wrapText="1"/>
    </xf>
    <xf numFmtId="0" fontId="0" fillId="4" borderId="1" xfId="0" applyFill="1" applyBorder="1" applyAlignment="1">
      <alignment horizontal="left" vertical="center" wrapText="1"/>
    </xf>
    <xf numFmtId="0" fontId="9" fillId="0" borderId="1" xfId="0" applyFont="1" applyBorder="1" applyAlignment="1">
      <alignment vertical="center" wrapText="1"/>
    </xf>
    <xf numFmtId="0" fontId="0" fillId="0" borderId="7" xfId="0" applyBorder="1"/>
    <xf numFmtId="0" fontId="0" fillId="2" borderId="7" xfId="0" applyFill="1" applyBorder="1"/>
    <xf numFmtId="0" fontId="0" fillId="4" borderId="7" xfId="0" applyFill="1" applyBorder="1" applyAlignment="1">
      <alignment horizontal="left" vertical="center"/>
    </xf>
    <xf numFmtId="0" fontId="0" fillId="0" borderId="1" xfId="0" applyFill="1" applyBorder="1" applyAlignment="1">
      <alignment horizontal="left"/>
    </xf>
    <xf numFmtId="0" fontId="0" fillId="0" borderId="7" xfId="0" applyBorder="1" applyAlignment="1">
      <alignment wrapText="1"/>
    </xf>
    <xf numFmtId="0" fontId="0" fillId="2" borderId="7" xfId="0" applyFill="1" applyBorder="1" applyAlignment="1">
      <alignment wrapText="1"/>
    </xf>
    <xf numFmtId="0" fontId="0" fillId="4" borderId="7" xfId="0" applyFill="1" applyBorder="1" applyAlignment="1">
      <alignment horizontal="left" vertical="center" wrapText="1"/>
    </xf>
    <xf numFmtId="0" fontId="0" fillId="0" borderId="1" xfId="0" applyFill="1" applyBorder="1" applyAlignment="1">
      <alignment horizontal="center" vertical="center"/>
    </xf>
  </cellXfs>
  <cellStyles count="1">
    <cellStyle name="Normal" xfId="0" builtinId="0"/>
  </cellStyles>
  <dxfs count="1">
    <dxf>
      <font>
        <strike/>
      </font>
      <fill>
        <patternFill>
          <bgColor rgb="FFFF0000"/>
        </patternFill>
      </fill>
    </dxf>
  </dxfs>
  <tableStyles count="0" defaultTableStyle="TableStyleMedium2" defaultPivotStyle="PivotStyleLight16"/>
  <colors>
    <mruColors>
      <color rgb="FF4BD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20-EC42-11CE-9E0D-00AA006002F3}"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8BD21D20-EC42-11CE-9E0D-00AA006002F3}" ax:persistence="persistStreamInit" r:id="rId1"/>
</file>

<file path=xl/activeX/activeX6.xml><?xml version="1.0" encoding="utf-8"?>
<ax:ocx xmlns:ax="http://schemas.microsoft.com/office/2006/activeX" xmlns:r="http://schemas.openxmlformats.org/officeDocument/2006/relationships" ax:classid="{8BD21D20-EC42-11CE-9E0D-00AA006002F3}" ax:persistence="persistStreamInit" r:id="rId1"/>
</file>

<file path=xl/activeX/activeX7.xml><?xml version="1.0" encoding="utf-8"?>
<ax:ocx xmlns:ax="http://schemas.microsoft.com/office/2006/activeX" xmlns:r="http://schemas.openxmlformats.org/officeDocument/2006/relationships" ax:classid="{8BD21D20-EC42-11CE-9E0D-00AA006002F3}" ax:persistence="persistStreamInit" r:id="rId1"/>
</file>

<file path=xl/activeX/activeX8.xml><?xml version="1.0" encoding="utf-8"?>
<ax:ocx xmlns:ax="http://schemas.microsoft.com/office/2006/activeX" xmlns:r="http://schemas.openxmlformats.org/officeDocument/2006/relationships" ax:classid="{8BD21D20-EC42-11CE-9E0D-00AA006002F3}" ax:persistence="persistStreamInit" r:id="rId1"/>
</file>

<file path=xl/activeX/activeX9.xml><?xml version="1.0" encoding="utf-8"?>
<ax:ocx xmlns:ax="http://schemas.microsoft.com/office/2006/activeX" xmlns:r="http://schemas.openxmlformats.org/officeDocument/2006/relationships" ax:classid="{8BD21D20-EC42-11CE-9E0D-00AA006002F3}" ax:persistence="persistStreamInit" r:id="rId1"/>
</file>

<file path=xl/activeX/activeX10.xml><?xml version="1.0" encoding="utf-8"?>
<ax:ocx xmlns:ax="http://schemas.microsoft.com/office/2006/activeX" xmlns:r="http://schemas.openxmlformats.org/officeDocument/2006/relationships" ax:classid="{8BD21D20-EC42-11CE-9E0D-00AA006002F3}"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Dev</a:t>
            </a:r>
            <a:r>
              <a:rPr lang="en-US" baseline="0"/>
              <a:t>Ops Adoption Maturity</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radarChart>
        <c:radarStyle val="marker"/>
        <c:varyColors val="0"/>
        <c:ser>
          <c:idx val="0"/>
          <c:order val="0"/>
          <c:tx>
            <c:strRef>
              <c:f>Results!$C$2</c:f>
              <c:strCache>
                <c:ptCount val="1"/>
                <c:pt idx="0">
                  <c:v>Score</c:v>
                </c:pt>
              </c:strCache>
            </c:strRef>
          </c:tx>
          <c:spPr>
            <a:ln w="28575"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Results!$B$3:$B$12</c:f>
              <c:strCache>
                <c:ptCount val="10"/>
                <c:pt idx="0">
                  <c:v>Requirement Mgmt</c:v>
                </c:pt>
                <c:pt idx="1">
                  <c:v>Version Control</c:v>
                </c:pt>
                <c:pt idx="2">
                  <c:v>Unit Testing</c:v>
                </c:pt>
                <c:pt idx="3">
                  <c:v>Code Quality and Analytics</c:v>
                </c:pt>
                <c:pt idx="4">
                  <c:v>Build</c:v>
                </c:pt>
                <c:pt idx="5">
                  <c:v>Testing</c:v>
                </c:pt>
                <c:pt idx="6">
                  <c:v>User Acceptance Testing</c:v>
                </c:pt>
                <c:pt idx="7">
                  <c:v>Deploy</c:v>
                </c:pt>
                <c:pt idx="8">
                  <c:v>Release</c:v>
                </c:pt>
                <c:pt idx="9">
                  <c:v>Run Time</c:v>
                </c:pt>
              </c:strCache>
            </c:strRef>
          </c:cat>
          <c:val>
            <c:numRef>
              <c:f>Results!$C$3:$C$12</c:f>
              <c:numCache>
                <c:formatCode>0</c:formatCode>
                <c:ptCount val="10"/>
                <c:pt idx="0">
                  <c:v>15</c:v>
                </c:pt>
                <c:pt idx="1">
                  <c:v>46</c:v>
                </c:pt>
                <c:pt idx="2">
                  <c:v>40</c:v>
                </c:pt>
                <c:pt idx="3">
                  <c:v>41.333333333333336</c:v>
                </c:pt>
                <c:pt idx="4">
                  <c:v>66.666666666666671</c:v>
                </c:pt>
                <c:pt idx="5">
                  <c:v>63</c:v>
                </c:pt>
                <c:pt idx="6">
                  <c:v>68</c:v>
                </c:pt>
                <c:pt idx="7">
                  <c:v>38.444444444444457</c:v>
                </c:pt>
                <c:pt idx="8">
                  <c:v>52</c:v>
                </c:pt>
                <c:pt idx="9">
                  <c:v>76</c:v>
                </c:pt>
              </c:numCache>
            </c:numRef>
          </c:val>
        </c:ser>
        <c:ser>
          <c:idx val="1"/>
          <c:order val="1"/>
          <c:tx>
            <c:strRef>
              <c:f>Results!$D$2</c:f>
              <c:strCache>
                <c:ptCount val="1"/>
              </c:strCache>
            </c:strRef>
          </c:tx>
          <c:spPr>
            <a:ln w="28575" cap="rnd">
              <a:solidFill>
                <a:schemeClr val="accent2"/>
              </a:solidFill>
              <a:round/>
            </a:ln>
            <a:effectLst/>
          </c:spPr>
          <c:marker>
            <c:symbol val="none"/>
          </c:marker>
          <c:dLbls>
            <c:delete val="1"/>
          </c:dLbls>
          <c:cat>
            <c:strRef>
              <c:f>Results!$B$3:$B$12</c:f>
              <c:strCache>
                <c:ptCount val="10"/>
                <c:pt idx="0">
                  <c:v>Requirement Mgmt</c:v>
                </c:pt>
                <c:pt idx="1">
                  <c:v>Version Control</c:v>
                </c:pt>
                <c:pt idx="2">
                  <c:v>Unit Testing</c:v>
                </c:pt>
                <c:pt idx="3">
                  <c:v>Code Quality and Analytics</c:v>
                </c:pt>
                <c:pt idx="4">
                  <c:v>Build</c:v>
                </c:pt>
                <c:pt idx="5">
                  <c:v>Testing</c:v>
                </c:pt>
                <c:pt idx="6">
                  <c:v>User Acceptance Testing</c:v>
                </c:pt>
                <c:pt idx="7">
                  <c:v>Deploy</c:v>
                </c:pt>
                <c:pt idx="8">
                  <c:v>Release</c:v>
                </c:pt>
                <c:pt idx="9">
                  <c:v>Run Time</c:v>
                </c:pt>
              </c:strCache>
            </c:strRef>
          </c:cat>
          <c:val>
            <c:numRef>
              <c:f>Results!$D$3:$D$12</c:f>
              <c:numCache>
                <c:formatCode>General</c:formatCode>
                <c:ptCount val="10"/>
                <c:pt idx="0">
                  <c:v>100</c:v>
                </c:pt>
                <c:pt idx="1">
                  <c:v>100</c:v>
                </c:pt>
                <c:pt idx="2">
                  <c:v>100</c:v>
                </c:pt>
                <c:pt idx="3">
                  <c:v>100</c:v>
                </c:pt>
                <c:pt idx="4">
                  <c:v>100</c:v>
                </c:pt>
                <c:pt idx="5">
                  <c:v>100</c:v>
                </c:pt>
                <c:pt idx="6">
                  <c:v>100</c:v>
                </c:pt>
                <c:pt idx="7">
                  <c:v>100</c:v>
                </c:pt>
                <c:pt idx="8">
                  <c:v>100</c:v>
                </c:pt>
                <c:pt idx="9">
                  <c:v>100</c:v>
                </c:pt>
              </c:numCache>
            </c:numRef>
          </c:val>
        </c:ser>
        <c:dLbls>
          <c:showLegendKey val="0"/>
          <c:showVal val="1"/>
          <c:showCatName val="0"/>
          <c:showSerName val="0"/>
          <c:showPercent val="0"/>
          <c:showBubbleSize val="0"/>
        </c:dLbls>
        <c:axId val="169469552"/>
        <c:axId val="169792608"/>
      </c:radarChart>
      <c:catAx>
        <c:axId val="1694695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9792608"/>
        <c:crosses val="autoZero"/>
        <c:auto val="1"/>
        <c:lblAlgn val="ctr"/>
        <c:lblOffset val="100"/>
        <c:noMultiLvlLbl val="0"/>
      </c:catAx>
      <c:valAx>
        <c:axId val="169792608"/>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9469552"/>
        <c:crosses val="autoZero"/>
        <c:crossBetween val="between"/>
      </c:valAx>
      <c:spPr>
        <a:noFill/>
        <a:ln>
          <a:noFill/>
        </a:ln>
        <a:effectLst/>
      </c:spPr>
    </c:plotArea>
    <c:legend>
      <c:legendPos val="t"/>
      <c:legendEntry>
        <c:idx val="1"/>
        <c:delete val="1"/>
      </c:legendEntry>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3.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5.emf"/><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8.emf"/><Relationship Id="rId2" Type="http://schemas.openxmlformats.org/officeDocument/2006/relationships/image" Target="../media/image9.emf"/><Relationship Id="rId1" Type="http://schemas.openxmlformats.org/officeDocument/2006/relationships/image" Target="../media/image2.emf"/><Relationship Id="rId5" Type="http://schemas.openxmlformats.org/officeDocument/2006/relationships/image" Target="../media/image10.emf"/><Relationship Id="rId4" Type="http://schemas.openxmlformats.org/officeDocument/2006/relationships/image" Target="../media/image7.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12.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13.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14.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15.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7.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2621280</xdr:colOff>
          <xdr:row>5</xdr:row>
          <xdr:rowOff>152400</xdr:rowOff>
        </xdr:from>
        <xdr:to>
          <xdr:col>2</xdr:col>
          <xdr:colOff>0</xdr:colOff>
          <xdr:row>7</xdr:row>
          <xdr:rowOff>160020</xdr:rowOff>
        </xdr:to>
        <xdr:sp macro="" textlink="">
          <xdr:nvSpPr>
            <xdr:cNvPr id="28673" name="btnRequirementMgmt_Calculate" hidden="1">
              <a:extLst>
                <a:ext uri="{63B3BB69-23CF-44E3-9099-C40C66FF867C}">
                  <a14:compatExt spid="_x0000_s286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0</xdr:row>
          <xdr:rowOff>175260</xdr:rowOff>
        </xdr:from>
        <xdr:to>
          <xdr:col>2</xdr:col>
          <xdr:colOff>1684020</xdr:colOff>
          <xdr:row>1</xdr:row>
          <xdr:rowOff>0</xdr:rowOff>
        </xdr:to>
        <xdr:sp macro="" textlink="">
          <xdr:nvSpPr>
            <xdr:cNvPr id="7169" name="ListBox1" hidden="1">
              <a:extLst>
                <a:ext uri="{63B3BB69-23CF-44E3-9099-C40C66FF867C}">
                  <a14:compatExt spid="_x0000_s71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3718560</xdr:colOff>
          <xdr:row>25</xdr:row>
          <xdr:rowOff>7620</xdr:rowOff>
        </xdr:from>
        <xdr:to>
          <xdr:col>1</xdr:col>
          <xdr:colOff>5006340</xdr:colOff>
          <xdr:row>26</xdr:row>
          <xdr:rowOff>152400</xdr:rowOff>
        </xdr:to>
        <xdr:sp macro="" textlink="">
          <xdr:nvSpPr>
            <xdr:cNvPr id="7178" name="btnVersionControl_Calculate" hidden="1">
              <a:extLst>
                <a:ext uri="{63B3BB69-23CF-44E3-9099-C40C66FF867C}">
                  <a14:compatExt spid="_x0000_s71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7620</xdr:colOff>
          <xdr:row>6</xdr:row>
          <xdr:rowOff>7620</xdr:rowOff>
        </xdr:from>
        <xdr:to>
          <xdr:col>3</xdr:col>
          <xdr:colOff>0</xdr:colOff>
          <xdr:row>6</xdr:row>
          <xdr:rowOff>548640</xdr:rowOff>
        </xdr:to>
        <xdr:sp macro="" textlink="">
          <xdr:nvSpPr>
            <xdr:cNvPr id="8211" name="lstUnitTesting_WhatMetrics" hidden="1">
              <a:extLst>
                <a:ext uri="{63B3BB69-23CF-44E3-9099-C40C66FF867C}">
                  <a14:compatExt spid="_x0000_s82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7620</xdr:colOff>
          <xdr:row>7</xdr:row>
          <xdr:rowOff>15240</xdr:rowOff>
        </xdr:from>
        <xdr:to>
          <xdr:col>2</xdr:col>
          <xdr:colOff>1691640</xdr:colOff>
          <xdr:row>7</xdr:row>
          <xdr:rowOff>556260</xdr:rowOff>
        </xdr:to>
        <xdr:sp macro="" textlink="">
          <xdr:nvSpPr>
            <xdr:cNvPr id="8212" name="lstUnitTesting_WhereMetrics" hidden="1">
              <a:extLst>
                <a:ext uri="{63B3BB69-23CF-44E3-9099-C40C66FF867C}">
                  <a14:compatExt spid="_x0000_s821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1668780</xdr:colOff>
          <xdr:row>9</xdr:row>
          <xdr:rowOff>175260</xdr:rowOff>
        </xdr:from>
        <xdr:to>
          <xdr:col>1</xdr:col>
          <xdr:colOff>3177540</xdr:colOff>
          <xdr:row>11</xdr:row>
          <xdr:rowOff>137160</xdr:rowOff>
        </xdr:to>
        <xdr:sp macro="" textlink="">
          <xdr:nvSpPr>
            <xdr:cNvPr id="8220" name="btnUnitTesting_Calculate" hidden="1">
              <a:extLst>
                <a:ext uri="{63B3BB69-23CF-44E3-9099-C40C66FF867C}">
                  <a14:compatExt spid="_x0000_s82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7620</xdr:colOff>
          <xdr:row>0</xdr:row>
          <xdr:rowOff>175260</xdr:rowOff>
        </xdr:from>
        <xdr:to>
          <xdr:col>2</xdr:col>
          <xdr:colOff>1691640</xdr:colOff>
          <xdr:row>1</xdr:row>
          <xdr:rowOff>0</xdr:rowOff>
        </xdr:to>
        <xdr:sp macro="" textlink="">
          <xdr:nvSpPr>
            <xdr:cNvPr id="9217" name="ListBox1" hidden="1">
              <a:extLst>
                <a:ext uri="{63B3BB69-23CF-44E3-9099-C40C66FF867C}">
                  <a14:compatExt spid="_x0000_s9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22860</xdr:colOff>
          <xdr:row>19</xdr:row>
          <xdr:rowOff>15240</xdr:rowOff>
        </xdr:from>
        <xdr:to>
          <xdr:col>3</xdr:col>
          <xdr:colOff>0</xdr:colOff>
          <xdr:row>19</xdr:row>
          <xdr:rowOff>556260</xdr:rowOff>
        </xdr:to>
        <xdr:sp macro="" textlink="">
          <xdr:nvSpPr>
            <xdr:cNvPr id="9241" name="ListBox8" hidden="1">
              <a:extLst>
                <a:ext uri="{63B3BB69-23CF-44E3-9099-C40C66FF867C}">
                  <a14:compatExt spid="_x0000_s9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22860</xdr:colOff>
          <xdr:row>22</xdr:row>
          <xdr:rowOff>15240</xdr:rowOff>
        </xdr:from>
        <xdr:to>
          <xdr:col>3</xdr:col>
          <xdr:colOff>0</xdr:colOff>
          <xdr:row>22</xdr:row>
          <xdr:rowOff>556260</xdr:rowOff>
        </xdr:to>
        <xdr:sp macro="" textlink="">
          <xdr:nvSpPr>
            <xdr:cNvPr id="9243" name="ListBox9" hidden="1">
              <a:extLst>
                <a:ext uri="{63B3BB69-23CF-44E3-9099-C40C66FF867C}">
                  <a14:compatExt spid="_x0000_s924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22860</xdr:colOff>
          <xdr:row>23</xdr:row>
          <xdr:rowOff>15240</xdr:rowOff>
        </xdr:from>
        <xdr:to>
          <xdr:col>3</xdr:col>
          <xdr:colOff>0</xdr:colOff>
          <xdr:row>23</xdr:row>
          <xdr:rowOff>556260</xdr:rowOff>
        </xdr:to>
        <xdr:sp macro="" textlink="">
          <xdr:nvSpPr>
            <xdr:cNvPr id="9244" name="ListBox10" hidden="1">
              <a:extLst>
                <a:ext uri="{63B3BB69-23CF-44E3-9099-C40C66FF867C}">
                  <a14:compatExt spid="_x0000_s92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2263140</xdr:colOff>
          <xdr:row>26</xdr:row>
          <xdr:rowOff>7620</xdr:rowOff>
        </xdr:from>
        <xdr:to>
          <xdr:col>1</xdr:col>
          <xdr:colOff>3771900</xdr:colOff>
          <xdr:row>28</xdr:row>
          <xdr:rowOff>15240</xdr:rowOff>
        </xdr:to>
        <xdr:sp macro="" textlink="">
          <xdr:nvSpPr>
            <xdr:cNvPr id="9245" name="CommandButton1" hidden="1">
              <a:extLst>
                <a:ext uri="{63B3BB69-23CF-44E3-9099-C40C66FF867C}">
                  <a14:compatExt spid="_x0000_s92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3451860</xdr:colOff>
          <xdr:row>8</xdr:row>
          <xdr:rowOff>175260</xdr:rowOff>
        </xdr:from>
        <xdr:to>
          <xdr:col>1</xdr:col>
          <xdr:colOff>4960620</xdr:colOff>
          <xdr:row>11</xdr:row>
          <xdr:rowOff>0</xdr:rowOff>
        </xdr:to>
        <xdr:sp macro="" textlink="">
          <xdr:nvSpPr>
            <xdr:cNvPr id="23555" name="btnPackaging_Calculate" hidden="1">
              <a:extLst>
                <a:ext uri="{63B3BB69-23CF-44E3-9099-C40C66FF867C}">
                  <a14:compatExt spid="_x0000_s235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2659380</xdr:colOff>
          <xdr:row>11</xdr:row>
          <xdr:rowOff>0</xdr:rowOff>
        </xdr:from>
        <xdr:to>
          <xdr:col>1</xdr:col>
          <xdr:colOff>4168140</xdr:colOff>
          <xdr:row>13</xdr:row>
          <xdr:rowOff>7620</xdr:rowOff>
        </xdr:to>
        <xdr:sp macro="" textlink="">
          <xdr:nvSpPr>
            <xdr:cNvPr id="24577" name="btnBuild_Calculate" hidden="1">
              <a:extLst>
                <a:ext uri="{63B3BB69-23CF-44E3-9099-C40C66FF867C}">
                  <a14:compatExt spid="_x0000_s245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3832860</xdr:colOff>
          <xdr:row>48</xdr:row>
          <xdr:rowOff>175260</xdr:rowOff>
        </xdr:from>
        <xdr:to>
          <xdr:col>1</xdr:col>
          <xdr:colOff>5341620</xdr:colOff>
          <xdr:row>51</xdr:row>
          <xdr:rowOff>0</xdr:rowOff>
        </xdr:to>
        <xdr:sp macro="" textlink="">
          <xdr:nvSpPr>
            <xdr:cNvPr id="39945" name="btnTesting_Calculate" hidden="1">
              <a:extLst>
                <a:ext uri="{63B3BB69-23CF-44E3-9099-C40C66FF867C}">
                  <a14:compatExt spid="_x0000_s399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1318260</xdr:colOff>
          <xdr:row>7</xdr:row>
          <xdr:rowOff>7620</xdr:rowOff>
        </xdr:from>
        <xdr:to>
          <xdr:col>1</xdr:col>
          <xdr:colOff>2827020</xdr:colOff>
          <xdr:row>9</xdr:row>
          <xdr:rowOff>15240</xdr:rowOff>
        </xdr:to>
        <xdr:sp macro="" textlink="">
          <xdr:nvSpPr>
            <xdr:cNvPr id="40964" name="CommandButton1" hidden="1">
              <a:extLst>
                <a:ext uri="{63B3BB69-23CF-44E3-9099-C40C66FF867C}">
                  <a14:compatExt spid="_x0000_s409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4328160</xdr:colOff>
          <xdr:row>53</xdr:row>
          <xdr:rowOff>167640</xdr:rowOff>
        </xdr:from>
        <xdr:to>
          <xdr:col>2</xdr:col>
          <xdr:colOff>586740</xdr:colOff>
          <xdr:row>55</xdr:row>
          <xdr:rowOff>175260</xdr:rowOff>
        </xdr:to>
        <xdr:sp macro="" textlink="">
          <xdr:nvSpPr>
            <xdr:cNvPr id="42000" name="btnDeploy_Calculate" hidden="1">
              <a:extLst>
                <a:ext uri="{63B3BB69-23CF-44E3-9099-C40C66FF867C}">
                  <a14:compatExt spid="_x0000_s42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2537460</xdr:colOff>
          <xdr:row>9</xdr:row>
          <xdr:rowOff>175260</xdr:rowOff>
        </xdr:from>
        <xdr:to>
          <xdr:col>2</xdr:col>
          <xdr:colOff>0</xdr:colOff>
          <xdr:row>12</xdr:row>
          <xdr:rowOff>0</xdr:rowOff>
        </xdr:to>
        <xdr:sp macro="" textlink="">
          <xdr:nvSpPr>
            <xdr:cNvPr id="18439" name="btnRelease_Calculate" hidden="1">
              <a:extLst>
                <a:ext uri="{63B3BB69-23CF-44E3-9099-C40C66FF867C}">
                  <a14:compatExt spid="_x0000_s184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3825240</xdr:colOff>
          <xdr:row>9</xdr:row>
          <xdr:rowOff>0</xdr:rowOff>
        </xdr:from>
        <xdr:to>
          <xdr:col>1</xdr:col>
          <xdr:colOff>5334000</xdr:colOff>
          <xdr:row>11</xdr:row>
          <xdr:rowOff>7620</xdr:rowOff>
        </xdr:to>
        <xdr:sp macro="" textlink="">
          <xdr:nvSpPr>
            <xdr:cNvPr id="43012" name="btnRunTime_Calculate" hidden="1">
              <a:extLst>
                <a:ext uri="{63B3BB69-23CF-44E3-9099-C40C66FF867C}">
                  <a14:compatExt spid="_x0000_s4301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3055620</xdr:colOff>
          <xdr:row>10</xdr:row>
          <xdr:rowOff>175260</xdr:rowOff>
        </xdr:from>
        <xdr:to>
          <xdr:col>3</xdr:col>
          <xdr:colOff>7620</xdr:colOff>
          <xdr:row>13</xdr:row>
          <xdr:rowOff>0</xdr:rowOff>
        </xdr:to>
        <xdr:sp macro="" textlink="">
          <xdr:nvSpPr>
            <xdr:cNvPr id="35842" name="btnInfrastructure_Calculate" hidden="1">
              <a:extLst>
                <a:ext uri="{63B3BB69-23CF-44E3-9099-C40C66FF867C}">
                  <a14:compatExt spid="_x0000_s358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xdr:twoCellAnchor>
    <xdr:from>
      <xdr:col>0</xdr:col>
      <xdr:colOff>0</xdr:colOff>
      <xdr:row>0</xdr:row>
      <xdr:rowOff>7620</xdr:rowOff>
    </xdr:from>
    <xdr:to>
      <xdr:col>14</xdr:col>
      <xdr:colOff>304800</xdr:colOff>
      <xdr:row>32</xdr:row>
      <xdr:rowOff>167640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image" Target="../media/image1.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2.vml"/><Relationship Id="rId7" Type="http://schemas.openxmlformats.org/officeDocument/2006/relationships/image" Target="../media/image3.emf"/><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2.emf"/><Relationship Id="rId4" Type="http://schemas.openxmlformats.org/officeDocument/2006/relationships/control" Target="../activeX/activeX2.xml"/></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6.xml"/><Relationship Id="rId3" Type="http://schemas.openxmlformats.org/officeDocument/2006/relationships/vmlDrawing" Target="../drawings/vmlDrawing3.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ontrol" Target="../activeX/activeX5.xml"/><Relationship Id="rId5" Type="http://schemas.openxmlformats.org/officeDocument/2006/relationships/image" Target="../media/image4.emf"/><Relationship Id="rId4" Type="http://schemas.openxmlformats.org/officeDocument/2006/relationships/control" Target="../activeX/activeX4.xml"/><Relationship Id="rId9" Type="http://schemas.openxmlformats.org/officeDocument/2006/relationships/image" Target="../media/image6.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9.xml"/><Relationship Id="rId13" Type="http://schemas.openxmlformats.org/officeDocument/2006/relationships/image" Target="../media/image10.emf"/><Relationship Id="rId3" Type="http://schemas.openxmlformats.org/officeDocument/2006/relationships/vmlDrawing" Target="../drawings/vmlDrawing4.vml"/><Relationship Id="rId7" Type="http://schemas.openxmlformats.org/officeDocument/2006/relationships/image" Target="../media/image8.emf"/><Relationship Id="rId12" Type="http://schemas.openxmlformats.org/officeDocument/2006/relationships/control" Target="../activeX/activeX11.x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ontrol" Target="../activeX/activeX8.xml"/><Relationship Id="rId11" Type="http://schemas.openxmlformats.org/officeDocument/2006/relationships/image" Target="../media/image2.emf"/><Relationship Id="rId5" Type="http://schemas.openxmlformats.org/officeDocument/2006/relationships/image" Target="../media/image7.emf"/><Relationship Id="rId10" Type="http://schemas.openxmlformats.org/officeDocument/2006/relationships/control" Target="../activeX/activeX10.xml"/><Relationship Id="rId4" Type="http://schemas.openxmlformats.org/officeDocument/2006/relationships/control" Target="../activeX/activeX7.xml"/><Relationship Id="rId9" Type="http://schemas.openxmlformats.org/officeDocument/2006/relationships/image" Target="../media/image9.emf"/></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6.bin"/><Relationship Id="rId5" Type="http://schemas.openxmlformats.org/officeDocument/2006/relationships/image" Target="../media/image11.emf"/><Relationship Id="rId4" Type="http://schemas.openxmlformats.org/officeDocument/2006/relationships/control" Target="../activeX/activeX12.xml"/></Relationships>
</file>

<file path=xl/worksheets/_rels/sheet8.xml.rels><?xml version="1.0" encoding="UTF-8" standalone="yes"?>
<Relationships xmlns="http://schemas.openxmlformats.org/package/2006/relationships"><Relationship Id="rId3" Type="http://schemas.openxmlformats.org/officeDocument/2006/relationships/control" Target="../activeX/activeX13.xml"/><Relationship Id="rId2" Type="http://schemas.openxmlformats.org/officeDocument/2006/relationships/vmlDrawing" Target="../drawings/vmlDrawing6.vml"/><Relationship Id="rId1" Type="http://schemas.openxmlformats.org/officeDocument/2006/relationships/drawing" Target="../drawings/drawing6.xml"/><Relationship Id="rId4" Type="http://schemas.openxmlformats.org/officeDocument/2006/relationships/image" Target="../media/image12.emf"/></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image" Target="../media/image13.emf"/><Relationship Id="rId4" Type="http://schemas.openxmlformats.org/officeDocument/2006/relationships/control" Target="../activeX/activeX1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14.emf"/><Relationship Id="rId4" Type="http://schemas.openxmlformats.org/officeDocument/2006/relationships/control" Target="../activeX/activeX15.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image" Target="../media/image15.emf"/><Relationship Id="rId4" Type="http://schemas.openxmlformats.org/officeDocument/2006/relationships/control" Target="../activeX/activeX16.xml"/></Relationships>
</file>

<file path=xl/worksheets/_rels/sheet12.xml.rels><?xml version="1.0" encoding="UTF-8" standalone="yes"?>
<Relationships xmlns="http://schemas.openxmlformats.org/package/2006/relationships"><Relationship Id="rId3" Type="http://schemas.openxmlformats.org/officeDocument/2006/relationships/control" Target="../activeX/activeX17.xml"/><Relationship Id="rId2" Type="http://schemas.openxmlformats.org/officeDocument/2006/relationships/vmlDrawing" Target="../drawings/vmlDrawing10.vml"/><Relationship Id="rId1" Type="http://schemas.openxmlformats.org/officeDocument/2006/relationships/drawing" Target="../drawings/drawing10.xml"/><Relationship Id="rId5" Type="http://schemas.openxmlformats.org/officeDocument/2006/relationships/comments" Target="../comments2.xml"/><Relationship Id="rId4" Type="http://schemas.openxmlformats.org/officeDocument/2006/relationships/image" Target="../media/image16.emf"/></Relationships>
</file>

<file path=xl/worksheets/_rels/sheet13.xml.rels><?xml version="1.0" encoding="UTF-8" standalone="yes"?>
<Relationships xmlns="http://schemas.openxmlformats.org/package/2006/relationships"><Relationship Id="rId3" Type="http://schemas.openxmlformats.org/officeDocument/2006/relationships/control" Target="../activeX/activeX18.xml"/><Relationship Id="rId2" Type="http://schemas.openxmlformats.org/officeDocument/2006/relationships/vmlDrawing" Target="../drawings/vmlDrawing11.vml"/><Relationship Id="rId1" Type="http://schemas.openxmlformats.org/officeDocument/2006/relationships/drawing" Target="../drawings/drawing11.xml"/><Relationship Id="rId4" Type="http://schemas.openxmlformats.org/officeDocument/2006/relationships/image" Target="../media/image17.emf"/></Relationships>
</file>

<file path=xl/worksheets/_rels/sheet14.xml.rels><?xml version="1.0" encoding="UTF-8" standalone="yes"?>
<Relationships xmlns="http://schemas.openxmlformats.org/package/2006/relationships"><Relationship Id="rId3" Type="http://schemas.openxmlformats.org/officeDocument/2006/relationships/control" Target="../activeX/activeX19.xml"/><Relationship Id="rId2" Type="http://schemas.openxmlformats.org/officeDocument/2006/relationships/vmlDrawing" Target="../drawings/vmlDrawing12.vml"/><Relationship Id="rId1" Type="http://schemas.openxmlformats.org/officeDocument/2006/relationships/drawing" Target="../drawings/drawing12.xml"/><Relationship Id="rId4" Type="http://schemas.openxmlformats.org/officeDocument/2006/relationships/image" Target="../media/image18.emf"/></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00B050"/>
  </sheetPr>
  <dimension ref="A2:B15"/>
  <sheetViews>
    <sheetView workbookViewId="0">
      <selection activeCell="B11" sqref="B11"/>
    </sheetView>
  </sheetViews>
  <sheetFormatPr defaultRowHeight="14.4" x14ac:dyDescent="0.3"/>
  <cols>
    <col min="2" max="2" width="169.5546875" customWidth="1"/>
  </cols>
  <sheetData>
    <row r="2" spans="1:2" ht="43.2" x14ac:dyDescent="0.3">
      <c r="A2" s="69">
        <v>1</v>
      </c>
      <c r="B2" s="1" t="s">
        <v>487</v>
      </c>
    </row>
    <row r="3" spans="1:2" ht="18.600000000000001" customHeight="1" thickBot="1" x14ac:dyDescent="0.35">
      <c r="A3" s="73">
        <v>2</v>
      </c>
      <c r="B3" t="s">
        <v>488</v>
      </c>
    </row>
    <row r="4" spans="1:2" ht="18" customHeight="1" x14ac:dyDescent="0.3">
      <c r="A4" s="73"/>
      <c r="B4" s="19" t="s">
        <v>210</v>
      </c>
    </row>
    <row r="5" spans="1:2" ht="18" customHeight="1" x14ac:dyDescent="0.3">
      <c r="A5" s="73"/>
      <c r="B5" s="20" t="s">
        <v>211</v>
      </c>
    </row>
    <row r="6" spans="1:2" ht="18" customHeight="1" x14ac:dyDescent="0.3">
      <c r="A6" s="73"/>
      <c r="B6" s="22" t="s">
        <v>212</v>
      </c>
    </row>
    <row r="7" spans="1:2" ht="18.600000000000001" customHeight="1" thickBot="1" x14ac:dyDescent="0.35">
      <c r="A7" s="73"/>
      <c r="B7" s="23" t="s">
        <v>213</v>
      </c>
    </row>
    <row r="8" spans="1:2" ht="18" x14ac:dyDescent="0.3">
      <c r="A8" s="69">
        <v>3</v>
      </c>
      <c r="B8" t="s">
        <v>489</v>
      </c>
    </row>
    <row r="9" spans="1:2" ht="18" x14ac:dyDescent="0.3">
      <c r="A9" s="69">
        <v>4</v>
      </c>
      <c r="B9" t="s">
        <v>490</v>
      </c>
    </row>
    <row r="10" spans="1:2" ht="18" x14ac:dyDescent="0.3">
      <c r="A10" s="69">
        <v>5</v>
      </c>
      <c r="B10" t="s">
        <v>491</v>
      </c>
    </row>
    <row r="11" spans="1:2" ht="28.8" x14ac:dyDescent="0.3">
      <c r="A11" s="69">
        <v>6</v>
      </c>
      <c r="B11" s="1" t="s">
        <v>492</v>
      </c>
    </row>
    <row r="12" spans="1:2" ht="18" x14ac:dyDescent="0.3">
      <c r="A12" s="69"/>
      <c r="B12" s="1"/>
    </row>
    <row r="13" spans="1:2" ht="18" x14ac:dyDescent="0.3">
      <c r="A13" s="69"/>
      <c r="B13" s="1"/>
    </row>
    <row r="15" spans="1:2" ht="23.4" x14ac:dyDescent="0.3">
      <c r="B15" s="70" t="s">
        <v>208</v>
      </c>
    </row>
  </sheetData>
  <mergeCells count="1">
    <mergeCell ref="A3:A7"/>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eam"/>
  <dimension ref="B1:D21"/>
  <sheetViews>
    <sheetView workbookViewId="0">
      <selection activeCell="B27" sqref="B27"/>
    </sheetView>
  </sheetViews>
  <sheetFormatPr defaultRowHeight="14.4" x14ac:dyDescent="0.3"/>
  <cols>
    <col min="2" max="2" width="69.21875" bestFit="1" customWidth="1"/>
    <col min="3" max="3" width="24.88671875" style="3" customWidth="1"/>
    <col min="4" max="4" width="44.77734375" style="6" customWidth="1"/>
  </cols>
  <sheetData>
    <row r="1" spans="2:4" x14ac:dyDescent="0.3">
      <c r="D1" s="2" t="s">
        <v>116</v>
      </c>
    </row>
    <row r="2" spans="2:4" x14ac:dyDescent="0.3">
      <c r="B2" s="7" t="s">
        <v>44</v>
      </c>
      <c r="C2" s="17"/>
      <c r="D2" s="21"/>
    </row>
    <row r="3" spans="2:4" x14ac:dyDescent="0.3">
      <c r="B3" s="7" t="s">
        <v>45</v>
      </c>
      <c r="C3" s="17">
        <v>15</v>
      </c>
      <c r="D3" s="21"/>
    </row>
    <row r="4" spans="2:4" x14ac:dyDescent="0.3">
      <c r="B4" s="7" t="s">
        <v>114</v>
      </c>
      <c r="C4" s="17"/>
      <c r="D4" s="21"/>
    </row>
    <row r="5" spans="2:4" x14ac:dyDescent="0.3">
      <c r="B5" s="7" t="s">
        <v>115</v>
      </c>
      <c r="C5" s="17"/>
      <c r="D5" s="21"/>
    </row>
    <row r="6" spans="2:4" x14ac:dyDescent="0.3">
      <c r="B6" s="7" t="s">
        <v>117</v>
      </c>
      <c r="C6" s="10">
        <v>5</v>
      </c>
      <c r="D6" s="21"/>
    </row>
    <row r="7" spans="2:4" x14ac:dyDescent="0.3">
      <c r="B7" s="7" t="s">
        <v>309</v>
      </c>
      <c r="C7" s="9" t="s">
        <v>2</v>
      </c>
      <c r="D7" s="21"/>
    </row>
    <row r="8" spans="2:4" x14ac:dyDescent="0.3">
      <c r="B8" s="7" t="s">
        <v>308</v>
      </c>
      <c r="C8" s="10"/>
      <c r="D8" s="21"/>
    </row>
    <row r="9" spans="2:4" x14ac:dyDescent="0.3">
      <c r="B9" s="7" t="s">
        <v>310</v>
      </c>
      <c r="C9" s="9" t="s">
        <v>2</v>
      </c>
      <c r="D9" s="21"/>
    </row>
    <row r="10" spans="2:4" x14ac:dyDescent="0.3">
      <c r="B10" s="7" t="s">
        <v>46</v>
      </c>
      <c r="C10" s="10">
        <v>10</v>
      </c>
      <c r="D10" s="21"/>
    </row>
    <row r="11" spans="2:4" x14ac:dyDescent="0.3">
      <c r="B11" s="7" t="s">
        <v>47</v>
      </c>
      <c r="C11" s="9" t="s">
        <v>1</v>
      </c>
      <c r="D11" s="21"/>
    </row>
    <row r="12" spans="2:4" x14ac:dyDescent="0.3">
      <c r="B12" s="7" t="s">
        <v>48</v>
      </c>
      <c r="C12" s="9" t="s">
        <v>1</v>
      </c>
      <c r="D12" s="21"/>
    </row>
    <row r="13" spans="2:4" x14ac:dyDescent="0.3">
      <c r="B13" s="7" t="s">
        <v>49</v>
      </c>
      <c r="C13" s="9" t="s">
        <v>2</v>
      </c>
      <c r="D13" s="21"/>
    </row>
    <row r="14" spans="2:4" x14ac:dyDescent="0.3">
      <c r="B14" s="7" t="s">
        <v>50</v>
      </c>
      <c r="C14" s="9" t="s">
        <v>1</v>
      </c>
      <c r="D14" s="21"/>
    </row>
    <row r="15" spans="2:4" x14ac:dyDescent="0.3">
      <c r="B15" s="7" t="s">
        <v>51</v>
      </c>
      <c r="C15" s="9" t="s">
        <v>1</v>
      </c>
      <c r="D15" s="21"/>
    </row>
    <row r="16" spans="2:4" x14ac:dyDescent="0.3">
      <c r="B16" s="7" t="s">
        <v>52</v>
      </c>
      <c r="C16" s="9" t="s">
        <v>1</v>
      </c>
      <c r="D16" s="21"/>
    </row>
    <row r="17" spans="2:4" x14ac:dyDescent="0.3">
      <c r="B17" s="7" t="s">
        <v>53</v>
      </c>
      <c r="C17" s="9" t="s">
        <v>1</v>
      </c>
      <c r="D17" s="21"/>
    </row>
    <row r="18" spans="2:4" x14ac:dyDescent="0.3">
      <c r="B18" s="7" t="s">
        <v>54</v>
      </c>
      <c r="C18" s="9" t="s">
        <v>1</v>
      </c>
      <c r="D18" s="21"/>
    </row>
    <row r="19" spans="2:4" x14ac:dyDescent="0.3">
      <c r="B19" s="7" t="s">
        <v>55</v>
      </c>
      <c r="C19" s="10"/>
      <c r="D19" s="21"/>
    </row>
    <row r="20" spans="2:4" x14ac:dyDescent="0.3">
      <c r="B20" s="7" t="s">
        <v>56</v>
      </c>
      <c r="C20" s="10"/>
      <c r="D20" s="21"/>
    </row>
    <row r="21" spans="2:4" x14ac:dyDescent="0.3">
      <c r="B21" s="7" t="s">
        <v>57</v>
      </c>
      <c r="C21" s="10"/>
      <c r="D21" s="21"/>
    </row>
  </sheetData>
  <conditionalFormatting sqref="C3">
    <cfRule type="cellIs" dxfId="0" priority="1" operator="notBetween">
      <formula>1</formula>
      <formula>15</formula>
    </cfRule>
  </conditionalFormatting>
  <dataValidations count="11">
    <dataValidation type="date" allowBlank="1" showInputMessage="1" showErrorMessage="1" errorTitle="Assessment Start Date" error="Please enter Assessment Start Date" promptTitle="Date" prompt="Assessment Start Date" sqref="C4">
      <formula1>36526</formula1>
      <formula2>401769</formula2>
    </dataValidation>
    <dataValidation type="date" allowBlank="1" showInputMessage="1" showErrorMessage="1" errorTitle="Assessment Completion Date" error="Please enmder assessment completion date" promptTitle="Date" prompt="Assessment Completion Date" sqref="C5">
      <formula1>36526</formula1>
      <formula2>401769</formula2>
    </dataValidation>
    <dataValidation type="whole" allowBlank="1" showInputMessage="1" showErrorMessage="1" errorTitle="How many?" error="Please input average team memebers participated in this assessment." sqref="C6">
      <formula1>1</formula1>
      <formula2>15</formula2>
    </dataValidation>
    <dataValidation type="whole" allowBlank="1" showInputMessage="1" showErrorMessage="1" errorTitle="How  many?" error="Please enter the number of team members." sqref="C3">
      <formula1>1</formula1>
      <formula2>15</formula2>
    </dataValidation>
    <dataValidation type="whole" allowBlank="1" showInputMessage="1" showErrorMessage="1" errorTitle="How many?" error="Please input number of locations." sqref="C8">
      <formula1>1</formula1>
      <formula2>10</formula2>
    </dataValidation>
    <dataValidation type="whole" allowBlank="1" showInputMessage="1" showErrorMessage="1" errorTitle="How many?" error="Please input number of Product Owners, team has." promptTitle="Number of Product Owners" sqref="C10">
      <formula1>0</formula1>
      <formula2>10</formula2>
    </dataValidation>
    <dataValidation type="date" operator="greaterThan" allowBlank="1" showInputMessage="1" showErrorMessage="1" errorTitle="Date please!" error="When does the newest memeber of team joined the team?" promptTitle="Date please!" prompt="Date please!" sqref="C19">
      <formula1>36526</formula1>
    </dataValidation>
    <dataValidation type="date" operator="greaterThan" allowBlank="1" showInputMessage="1" showErrorMessage="1" errorTitle="Date please" error="Please input approx. date of longest surviving team memeber :-)" promptTitle="Date please!" prompt="Dtae please!" sqref="C20">
      <formula1>36526</formula1>
    </dataValidation>
    <dataValidation type="whole" operator="greaterThanOrEqual" allowBlank="1" showInputMessage="1" showErrorMessage="1" sqref="C21">
      <formula1>0</formula1>
    </dataValidation>
    <dataValidation type="list" allowBlank="1" showErrorMessage="1" errorTitle="Select One" error="Please select from selection list" sqref="C7">
      <formula1>#REF!</formula1>
    </dataValidation>
    <dataValidation type="list" allowBlank="1" showInputMessage="1" showErrorMessage="1" sqref="C9 C12 C13 C14 C15 C16 C17 C18 C11">
      <formula1>#REF!</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RequirementMgmt"/>
  <dimension ref="A1:G8"/>
  <sheetViews>
    <sheetView workbookViewId="0">
      <selection activeCell="B4" sqref="B4"/>
    </sheetView>
  </sheetViews>
  <sheetFormatPr defaultRowHeight="14.4" x14ac:dyDescent="0.3"/>
  <cols>
    <col min="2" max="2" width="57" bestFit="1" customWidth="1"/>
    <col min="3" max="3" width="24.88671875" customWidth="1"/>
    <col min="4" max="4" width="44.77734375" style="5" customWidth="1"/>
    <col min="5" max="5" width="17.21875" customWidth="1"/>
    <col min="6" max="7" width="0" hidden="1" customWidth="1"/>
  </cols>
  <sheetData>
    <row r="1" spans="1:7" x14ac:dyDescent="0.3">
      <c r="D1" s="4" t="s">
        <v>116</v>
      </c>
      <c r="F1" s="4" t="s">
        <v>317</v>
      </c>
      <c r="G1" s="4" t="s">
        <v>318</v>
      </c>
    </row>
    <row r="2" spans="1:7" ht="28.8" x14ac:dyDescent="0.3">
      <c r="A2" t="s">
        <v>319</v>
      </c>
      <c r="B2" s="13" t="s">
        <v>494</v>
      </c>
      <c r="C2" s="12" t="s">
        <v>2</v>
      </c>
      <c r="D2" s="21"/>
      <c r="F2">
        <v>0</v>
      </c>
      <c r="G2">
        <v>5</v>
      </c>
    </row>
    <row r="3" spans="1:7" ht="28.8" x14ac:dyDescent="0.3">
      <c r="A3" t="s">
        <v>320</v>
      </c>
      <c r="B3" s="13" t="s">
        <v>493</v>
      </c>
      <c r="C3" s="12" t="s">
        <v>1</v>
      </c>
      <c r="D3" s="21"/>
      <c r="F3">
        <v>5</v>
      </c>
      <c r="G3">
        <v>5</v>
      </c>
    </row>
    <row r="4" spans="1:7" ht="28.8" x14ac:dyDescent="0.3">
      <c r="A4" t="s">
        <v>321</v>
      </c>
      <c r="B4" s="13" t="s">
        <v>314</v>
      </c>
      <c r="C4" s="12" t="s">
        <v>1</v>
      </c>
      <c r="D4" s="21"/>
      <c r="F4">
        <v>5</v>
      </c>
      <c r="G4">
        <v>5</v>
      </c>
    </row>
    <row r="5" spans="1:7" x14ac:dyDescent="0.3">
      <c r="A5" t="s">
        <v>322</v>
      </c>
      <c r="B5" s="7" t="s">
        <v>58</v>
      </c>
      <c r="C5" s="12" t="s">
        <v>1</v>
      </c>
      <c r="D5" s="21"/>
      <c r="F5">
        <v>5</v>
      </c>
      <c r="G5">
        <v>5</v>
      </c>
    </row>
    <row r="7" spans="1:7" x14ac:dyDescent="0.3">
      <c r="C7" s="74">
        <f>F7</f>
        <v>15</v>
      </c>
      <c r="F7">
        <f>SUM(F2:F5)</f>
        <v>15</v>
      </c>
      <c r="G7">
        <f>SUM(G2:G5)</f>
        <v>20</v>
      </c>
    </row>
    <row r="8" spans="1:7" x14ac:dyDescent="0.3">
      <c r="C8" s="74"/>
    </row>
  </sheetData>
  <mergeCells count="1">
    <mergeCell ref="C7:C8"/>
  </mergeCells>
  <pageMargins left="0.7" right="0.7" top="0.75" bottom="0.75" header="0.3" footer="0.3"/>
  <pageSetup orientation="portrait" r:id="rId1"/>
  <drawing r:id="rId2"/>
  <legacyDrawing r:id="rId3"/>
  <controls>
    <mc:AlternateContent xmlns:mc="http://schemas.openxmlformats.org/markup-compatibility/2006">
      <mc:Choice Requires="x14">
        <control shapeId="28673" r:id="rId4" name="btnRequirementMgmt_Calculate">
          <controlPr defaultSize="0" autoLine="0" r:id="rId5">
            <anchor moveWithCells="1">
              <from>
                <xdr:col>1</xdr:col>
                <xdr:colOff>2621280</xdr:colOff>
                <xdr:row>5</xdr:row>
                <xdr:rowOff>152400</xdr:rowOff>
              </from>
              <to>
                <xdr:col>2</xdr:col>
                <xdr:colOff>0</xdr:colOff>
                <xdr:row>7</xdr:row>
                <xdr:rowOff>160020</xdr:rowOff>
              </to>
            </anchor>
          </controlPr>
        </control>
      </mc:Choice>
      <mc:Fallback>
        <control shapeId="28673" r:id="rId4" name="btnRequirementMgmt_Calculat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DataNew!$B$7:$B$8</xm:f>
          </x14:formula1>
          <xm:sqref>C2:C5</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VersionControl"/>
  <dimension ref="A1:G27"/>
  <sheetViews>
    <sheetView zoomScale="90" zoomScaleNormal="90" workbookViewId="0">
      <selection activeCell="B31" sqref="B31"/>
    </sheetView>
  </sheetViews>
  <sheetFormatPr defaultRowHeight="14.4" x14ac:dyDescent="0.3"/>
  <cols>
    <col min="2" max="2" width="74" customWidth="1"/>
    <col min="3" max="3" width="24.88671875" style="1" customWidth="1"/>
    <col min="4" max="4" width="44.77734375" style="30" customWidth="1"/>
    <col min="5" max="5" width="10.33203125" style="30" customWidth="1"/>
    <col min="6" max="6" width="9" style="46" customWidth="1"/>
    <col min="7" max="7" width="8.88671875" style="3" customWidth="1"/>
  </cols>
  <sheetData>
    <row r="1" spans="1:7" x14ac:dyDescent="0.3">
      <c r="D1" s="40" t="s">
        <v>116</v>
      </c>
      <c r="E1" s="40"/>
      <c r="F1" s="41" t="s">
        <v>317</v>
      </c>
      <c r="G1" s="3" t="s">
        <v>318</v>
      </c>
    </row>
    <row r="2" spans="1:7" x14ac:dyDescent="0.3">
      <c r="A2" s="28" t="s">
        <v>311</v>
      </c>
      <c r="B2" s="7"/>
      <c r="C2" s="13"/>
      <c r="D2" s="39"/>
      <c r="E2" s="36"/>
      <c r="F2" s="45"/>
    </row>
    <row r="3" spans="1:7" x14ac:dyDescent="0.3">
      <c r="A3" s="43" t="s">
        <v>319</v>
      </c>
      <c r="B3" s="7" t="s">
        <v>220</v>
      </c>
      <c r="C3" s="14" t="s">
        <v>1</v>
      </c>
      <c r="D3" s="21"/>
      <c r="E3" s="36"/>
      <c r="F3" s="45">
        <v>5</v>
      </c>
      <c r="G3" s="3">
        <v>5</v>
      </c>
    </row>
    <row r="4" spans="1:7" x14ac:dyDescent="0.3">
      <c r="A4" s="43" t="s">
        <v>320</v>
      </c>
      <c r="B4" s="7" t="s">
        <v>222</v>
      </c>
      <c r="C4" s="14" t="s">
        <v>2</v>
      </c>
      <c r="D4" s="48"/>
      <c r="E4" s="36"/>
      <c r="F4" s="45">
        <v>0</v>
      </c>
      <c r="G4" s="3">
        <v>5</v>
      </c>
    </row>
    <row r="5" spans="1:7" x14ac:dyDescent="0.3">
      <c r="A5" s="43" t="s">
        <v>321</v>
      </c>
      <c r="B5" s="7" t="s">
        <v>223</v>
      </c>
      <c r="C5" s="14" t="s">
        <v>2</v>
      </c>
      <c r="D5" s="48"/>
      <c r="E5" s="36"/>
      <c r="F5" s="45">
        <v>5</v>
      </c>
      <c r="G5" s="3">
        <v>5</v>
      </c>
    </row>
    <row r="6" spans="1:7" x14ac:dyDescent="0.3">
      <c r="A6" s="44" t="s">
        <v>322</v>
      </c>
      <c r="B6" s="7" t="s">
        <v>224</v>
      </c>
      <c r="C6" s="14" t="s">
        <v>1</v>
      </c>
      <c r="D6" s="48"/>
      <c r="E6" s="36"/>
      <c r="F6" s="45">
        <v>5</v>
      </c>
      <c r="G6" s="3">
        <v>5</v>
      </c>
    </row>
    <row r="7" spans="1:7" x14ac:dyDescent="0.3">
      <c r="A7" s="44" t="s">
        <v>323</v>
      </c>
      <c r="B7" s="7" t="s">
        <v>225</v>
      </c>
      <c r="C7" s="14" t="s">
        <v>1</v>
      </c>
      <c r="D7" s="48"/>
      <c r="E7" s="36"/>
      <c r="F7" s="45">
        <v>0</v>
      </c>
      <c r="G7" s="3">
        <v>5</v>
      </c>
    </row>
    <row r="8" spans="1:7" x14ac:dyDescent="0.3">
      <c r="A8" s="28" t="s">
        <v>226</v>
      </c>
      <c r="B8" s="7"/>
      <c r="C8" s="13"/>
      <c r="D8" s="39"/>
      <c r="E8" s="36"/>
      <c r="F8" s="45"/>
    </row>
    <row r="9" spans="1:7" x14ac:dyDescent="0.3">
      <c r="A9" s="44" t="s">
        <v>324</v>
      </c>
      <c r="B9" s="7" t="s">
        <v>354</v>
      </c>
      <c r="C9" s="14" t="s">
        <v>118</v>
      </c>
      <c r="D9" s="48"/>
      <c r="E9" s="36"/>
      <c r="F9" s="45">
        <v>3</v>
      </c>
      <c r="G9" s="3">
        <v>5</v>
      </c>
    </row>
    <row r="10" spans="1:7" ht="28.8" x14ac:dyDescent="0.3">
      <c r="A10" s="44" t="s">
        <v>325</v>
      </c>
      <c r="B10" s="13" t="s">
        <v>59</v>
      </c>
      <c r="C10" s="14" t="s">
        <v>2</v>
      </c>
      <c r="D10" s="48"/>
      <c r="E10" s="36"/>
      <c r="F10" s="45">
        <v>0</v>
      </c>
      <c r="G10" s="3">
        <v>5</v>
      </c>
    </row>
    <row r="11" spans="1:7" hidden="1" x14ac:dyDescent="0.3">
      <c r="A11" s="28" t="s">
        <v>60</v>
      </c>
      <c r="B11" s="7"/>
      <c r="C11" s="13"/>
      <c r="D11" s="39"/>
      <c r="E11" s="36"/>
      <c r="F11" s="45"/>
    </row>
    <row r="12" spans="1:7" hidden="1" x14ac:dyDescent="0.3">
      <c r="A12" s="44" t="s">
        <v>326</v>
      </c>
      <c r="B12" s="11" t="s">
        <v>227</v>
      </c>
      <c r="C12" s="14" t="s">
        <v>68</v>
      </c>
      <c r="D12" s="48"/>
      <c r="E12" s="36"/>
      <c r="F12" s="45">
        <v>0</v>
      </c>
      <c r="G12" s="3">
        <v>0</v>
      </c>
    </row>
    <row r="13" spans="1:7" ht="28.8" hidden="1" x14ac:dyDescent="0.3">
      <c r="A13" s="44" t="s">
        <v>327</v>
      </c>
      <c r="B13" s="11" t="s">
        <v>228</v>
      </c>
      <c r="C13" s="14" t="s">
        <v>315</v>
      </c>
      <c r="D13" s="48"/>
      <c r="E13" s="36"/>
      <c r="F13" s="45">
        <v>0</v>
      </c>
      <c r="G13" s="3">
        <v>0</v>
      </c>
    </row>
    <row r="14" spans="1:7" hidden="1" x14ac:dyDescent="0.3">
      <c r="A14" s="44" t="s">
        <v>328</v>
      </c>
      <c r="B14" s="11" t="s">
        <v>355</v>
      </c>
      <c r="C14" s="14" t="s">
        <v>121</v>
      </c>
      <c r="D14" s="48"/>
      <c r="E14" s="36"/>
      <c r="F14" s="45">
        <v>0</v>
      </c>
      <c r="G14" s="3">
        <v>0</v>
      </c>
    </row>
    <row r="15" spans="1:7" hidden="1" x14ac:dyDescent="0.3">
      <c r="A15" s="44" t="s">
        <v>329</v>
      </c>
      <c r="B15" s="11" t="s">
        <v>61</v>
      </c>
      <c r="C15" s="14" t="s">
        <v>22</v>
      </c>
      <c r="D15" s="48"/>
      <c r="E15" s="36"/>
      <c r="F15" s="45">
        <v>0</v>
      </c>
      <c r="G15" s="3">
        <v>0</v>
      </c>
    </row>
    <row r="16" spans="1:7" ht="28.8" hidden="1" x14ac:dyDescent="0.3">
      <c r="A16" s="44" t="s">
        <v>330</v>
      </c>
      <c r="B16" s="11" t="s">
        <v>62</v>
      </c>
      <c r="C16" s="14" t="s">
        <v>461</v>
      </c>
      <c r="D16" s="48"/>
      <c r="E16" s="36"/>
      <c r="F16" s="45">
        <v>0</v>
      </c>
      <c r="G16" s="3">
        <v>0</v>
      </c>
    </row>
    <row r="17" spans="1:7" hidden="1" x14ac:dyDescent="0.3">
      <c r="A17" s="44" t="s">
        <v>331</v>
      </c>
      <c r="B17" s="11" t="s">
        <v>229</v>
      </c>
      <c r="C17" s="14" t="s">
        <v>123</v>
      </c>
      <c r="D17" s="48"/>
      <c r="E17" s="36"/>
      <c r="F17" s="45">
        <v>0</v>
      </c>
      <c r="G17" s="3">
        <v>0</v>
      </c>
    </row>
    <row r="18" spans="1:7" hidden="1" x14ac:dyDescent="0.3">
      <c r="A18" s="44" t="s">
        <v>332</v>
      </c>
      <c r="B18" s="11" t="s">
        <v>63</v>
      </c>
      <c r="C18" s="14" t="s">
        <v>79</v>
      </c>
      <c r="D18" s="48"/>
      <c r="E18" s="36"/>
      <c r="F18" s="45">
        <v>0</v>
      </c>
      <c r="G18" s="3">
        <v>0</v>
      </c>
    </row>
    <row r="19" spans="1:7" x14ac:dyDescent="0.3">
      <c r="A19" s="28" t="s">
        <v>7</v>
      </c>
      <c r="B19" s="7"/>
      <c r="C19" s="13"/>
      <c r="D19" s="39"/>
      <c r="E19" s="36"/>
      <c r="F19" s="45"/>
    </row>
    <row r="20" spans="1:7" x14ac:dyDescent="0.3">
      <c r="A20" s="44" t="s">
        <v>333</v>
      </c>
      <c r="B20" s="7" t="s">
        <v>495</v>
      </c>
      <c r="C20" s="14" t="s">
        <v>2</v>
      </c>
      <c r="D20" s="48"/>
      <c r="E20" s="36"/>
      <c r="F20" s="45">
        <v>0</v>
      </c>
      <c r="G20" s="3">
        <v>5</v>
      </c>
    </row>
    <row r="21" spans="1:7" ht="28.8" x14ac:dyDescent="0.3">
      <c r="A21" s="44" t="s">
        <v>334</v>
      </c>
      <c r="B21" s="89" t="s">
        <v>356</v>
      </c>
      <c r="C21" s="90" t="s">
        <v>2</v>
      </c>
      <c r="D21" s="91"/>
      <c r="E21" s="36"/>
      <c r="F21" s="45">
        <v>0</v>
      </c>
      <c r="G21" s="3">
        <v>5</v>
      </c>
    </row>
    <row r="22" spans="1:7" x14ac:dyDescent="0.3">
      <c r="A22" s="7" t="s">
        <v>60</v>
      </c>
      <c r="B22" s="13"/>
      <c r="C22" s="71"/>
      <c r="D22" s="71"/>
      <c r="E22" s="36"/>
      <c r="F22" s="45"/>
    </row>
    <row r="23" spans="1:7" ht="28.8" x14ac:dyDescent="0.3">
      <c r="A23" s="92" t="s">
        <v>362</v>
      </c>
      <c r="B23" s="13" t="s">
        <v>509</v>
      </c>
      <c r="C23" s="14" t="s">
        <v>1</v>
      </c>
      <c r="D23" s="72"/>
      <c r="E23" s="36"/>
      <c r="F23" s="45">
        <v>5</v>
      </c>
      <c r="G23" s="3">
        <v>5</v>
      </c>
    </row>
    <row r="24" spans="1:7" x14ac:dyDescent="0.3">
      <c r="A24" s="44"/>
      <c r="B24" s="31"/>
      <c r="C24" s="31"/>
      <c r="D24" s="36"/>
      <c r="E24" s="36"/>
      <c r="F24" s="45"/>
    </row>
    <row r="25" spans="1:7" x14ac:dyDescent="0.3">
      <c r="F25" s="46">
        <f xml:space="preserve"> SUM(F3:F23)</f>
        <v>23</v>
      </c>
      <c r="G25" s="46">
        <f xml:space="preserve"> SUM(G3:G23)</f>
        <v>50</v>
      </c>
    </row>
    <row r="26" spans="1:7" ht="18" x14ac:dyDescent="0.3">
      <c r="C26" s="74">
        <f xml:space="preserve"> F26</f>
        <v>46</v>
      </c>
      <c r="F26" s="47">
        <f>(F25*G26)/G25</f>
        <v>46</v>
      </c>
      <c r="G26" s="3">
        <v>100</v>
      </c>
    </row>
    <row r="27" spans="1:7" x14ac:dyDescent="0.3">
      <c r="C27" s="74"/>
    </row>
  </sheetData>
  <dataConsolidate/>
  <mergeCells count="1">
    <mergeCell ref="C26:C27"/>
  </mergeCells>
  <pageMargins left="0.7" right="0.7" top="0.75" bottom="0.75" header="0.3" footer="0.3"/>
  <pageSetup orientation="portrait" r:id="rId1"/>
  <drawing r:id="rId2"/>
  <legacyDrawing r:id="rId3"/>
  <controls>
    <mc:AlternateContent xmlns:mc="http://schemas.openxmlformats.org/markup-compatibility/2006">
      <mc:Choice Requires="x14">
        <control shapeId="7169" r:id="rId4" name="ListBox1">
          <controlPr autoLine="0" linkedCell="#REF!" listFillRange="#REF!" r:id="rId5">
            <anchor moveWithCells="1" sizeWithCells="1">
              <from>
                <xdr:col>2</xdr:col>
                <xdr:colOff>0</xdr:colOff>
                <xdr:row>0</xdr:row>
                <xdr:rowOff>175260</xdr:rowOff>
              </from>
              <to>
                <xdr:col>2</xdr:col>
                <xdr:colOff>1684020</xdr:colOff>
                <xdr:row>1</xdr:row>
                <xdr:rowOff>0</xdr:rowOff>
              </to>
            </anchor>
          </controlPr>
        </control>
      </mc:Choice>
      <mc:Fallback>
        <control shapeId="7169" r:id="rId4" name="ListBox1"/>
      </mc:Fallback>
    </mc:AlternateContent>
    <mc:AlternateContent xmlns:mc="http://schemas.openxmlformats.org/markup-compatibility/2006">
      <mc:Choice Requires="x14">
        <control shapeId="7178" r:id="rId6" name="btnVersionControl_Calculate">
          <controlPr defaultSize="0" autoLine="0" r:id="rId7">
            <anchor moveWithCells="1">
              <from>
                <xdr:col>1</xdr:col>
                <xdr:colOff>3718560</xdr:colOff>
                <xdr:row>25</xdr:row>
                <xdr:rowOff>7620</xdr:rowOff>
              </from>
              <to>
                <xdr:col>1</xdr:col>
                <xdr:colOff>5006340</xdr:colOff>
                <xdr:row>26</xdr:row>
                <xdr:rowOff>152400</xdr:rowOff>
              </to>
            </anchor>
          </controlPr>
        </control>
      </mc:Choice>
      <mc:Fallback>
        <control shapeId="7178" r:id="rId6" name="btnVersionControl_Calculate"/>
      </mc:Fallback>
    </mc:AlternateContent>
  </controls>
  <extLst>
    <ext xmlns:x14="http://schemas.microsoft.com/office/spreadsheetml/2009/9/main" uri="{CCE6A557-97BC-4b89-ADB6-D9C93CAAB3DF}">
      <x14:dataValidations xmlns:xm="http://schemas.microsoft.com/office/excel/2006/main" count="10">
        <x14:dataValidation type="list" allowBlank="1" showInputMessage="1" showErrorMessage="1">
          <x14:formula1>
            <xm:f>DataNew!$B$11:$B$12</xm:f>
          </x14:formula1>
          <xm:sqref>C3 C10 C20:C23</xm:sqref>
        </x14:dataValidation>
        <x14:dataValidation type="list" allowBlank="1" showInputMessage="1" showErrorMessage="1">
          <x14:formula1>
            <xm:f>DataNew!$E$11:$E$13</xm:f>
          </x14:formula1>
          <xm:sqref>C4:C7</xm:sqref>
        </x14:dataValidation>
        <x14:dataValidation type="list" allowBlank="1" showInputMessage="1" showErrorMessage="1">
          <x14:formula1>
            <xm:f>DataNew!$H$11:$H$13</xm:f>
          </x14:formula1>
          <xm:sqref>C9</xm:sqref>
        </x14:dataValidation>
        <x14:dataValidation type="list" allowBlank="1" showInputMessage="1" showErrorMessage="1">
          <x14:formula1>
            <xm:f>DataNew!$K$11:$K$14</xm:f>
          </x14:formula1>
          <xm:sqref>C12</xm:sqref>
        </x14:dataValidation>
        <x14:dataValidation type="list" allowBlank="1" showInputMessage="1" showErrorMessage="1">
          <x14:formula1>
            <xm:f>DataNew!$N$11:$N$16</xm:f>
          </x14:formula1>
          <xm:sqref>C14</xm:sqref>
        </x14:dataValidation>
        <x14:dataValidation type="list" allowBlank="1" showInputMessage="1" showErrorMessage="1">
          <x14:formula1>
            <xm:f>DataNew!$Q$11:$Q$15</xm:f>
          </x14:formula1>
          <xm:sqref>C15</xm:sqref>
        </x14:dataValidation>
        <x14:dataValidation type="list" allowBlank="1" showInputMessage="1" showErrorMessage="1">
          <x14:formula1>
            <xm:f>DataNew!$T$11:$T$14</xm:f>
          </x14:formula1>
          <xm:sqref>C16</xm:sqref>
        </x14:dataValidation>
        <x14:dataValidation type="list" allowBlank="1" showInputMessage="1" showErrorMessage="1">
          <x14:formula1>
            <xm:f>DataNew!$W$11:$W$15</xm:f>
          </x14:formula1>
          <xm:sqref>C17</xm:sqref>
        </x14:dataValidation>
        <x14:dataValidation type="list" allowBlank="1" showInputMessage="1" showErrorMessage="1">
          <x14:formula1>
            <xm:f>DataNew!$Z$11:$Z$13</xm:f>
          </x14:formula1>
          <xm:sqref>C18</xm:sqref>
        </x14:dataValidation>
        <x14:dataValidation type="list" allowBlank="1" showInputMessage="1" showErrorMessage="1">
          <x14:formula1>
            <xm:f>DataNew!$AC$11:$AC$15</xm:f>
          </x14:formula1>
          <xm:sqref>C13</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UnitTesting"/>
  <dimension ref="A1:G12"/>
  <sheetViews>
    <sheetView workbookViewId="0">
      <selection activeCell="C11" sqref="C11:C12"/>
    </sheetView>
  </sheetViews>
  <sheetFormatPr defaultRowHeight="14.4" x14ac:dyDescent="0.3"/>
  <cols>
    <col min="2" max="2" width="46.44140625" bestFit="1" customWidth="1"/>
    <col min="3" max="3" width="24.88671875" customWidth="1"/>
    <col min="4" max="4" width="44.77734375" style="6" customWidth="1"/>
    <col min="6" max="7" width="0" hidden="1" customWidth="1"/>
  </cols>
  <sheetData>
    <row r="1" spans="1:7" x14ac:dyDescent="0.3">
      <c r="D1" s="4" t="s">
        <v>116</v>
      </c>
      <c r="F1" s="4" t="s">
        <v>317</v>
      </c>
      <c r="G1" s="4" t="s">
        <v>318</v>
      </c>
    </row>
    <row r="2" spans="1:7" x14ac:dyDescent="0.3">
      <c r="A2" t="s">
        <v>319</v>
      </c>
      <c r="B2" s="7" t="s">
        <v>231</v>
      </c>
      <c r="C2" s="12" t="s">
        <v>2</v>
      </c>
      <c r="D2" s="21"/>
      <c r="F2">
        <v>0</v>
      </c>
      <c r="G2">
        <v>5</v>
      </c>
    </row>
    <row r="3" spans="1:7" x14ac:dyDescent="0.3">
      <c r="A3" t="s">
        <v>320</v>
      </c>
      <c r="B3" s="7" t="s">
        <v>230</v>
      </c>
      <c r="C3" s="12" t="s">
        <v>1</v>
      </c>
      <c r="D3" s="21"/>
      <c r="F3">
        <v>5</v>
      </c>
      <c r="G3">
        <v>5</v>
      </c>
    </row>
    <row r="4" spans="1:7" x14ac:dyDescent="0.3">
      <c r="A4" t="s">
        <v>321</v>
      </c>
      <c r="B4" s="7" t="s">
        <v>496</v>
      </c>
      <c r="C4" s="12" t="s">
        <v>2</v>
      </c>
      <c r="D4" s="21"/>
      <c r="F4">
        <v>0</v>
      </c>
      <c r="G4">
        <v>5</v>
      </c>
    </row>
    <row r="5" spans="1:7" x14ac:dyDescent="0.3">
      <c r="A5" t="s">
        <v>322</v>
      </c>
      <c r="B5" s="7" t="s">
        <v>232</v>
      </c>
      <c r="C5" s="12" t="s">
        <v>1</v>
      </c>
      <c r="D5" s="21"/>
      <c r="F5">
        <v>5</v>
      </c>
      <c r="G5">
        <v>5</v>
      </c>
    </row>
    <row r="6" spans="1:7" x14ac:dyDescent="0.3">
      <c r="A6" t="s">
        <v>323</v>
      </c>
      <c r="B6" s="35" t="s">
        <v>233</v>
      </c>
      <c r="C6" s="12" t="s">
        <v>128</v>
      </c>
      <c r="D6" s="21"/>
      <c r="F6">
        <v>0</v>
      </c>
      <c r="G6">
        <v>0</v>
      </c>
    </row>
    <row r="7" spans="1:7" ht="49.2" customHeight="1" x14ac:dyDescent="0.3">
      <c r="A7" t="s">
        <v>324</v>
      </c>
      <c r="B7" s="27" t="s">
        <v>357</v>
      </c>
      <c r="C7" s="7"/>
      <c r="D7" s="21"/>
      <c r="F7">
        <v>0</v>
      </c>
      <c r="G7">
        <v>5</v>
      </c>
    </row>
    <row r="8" spans="1:7" ht="49.2" customHeight="1" x14ac:dyDescent="0.3">
      <c r="A8" t="s">
        <v>325</v>
      </c>
      <c r="B8" s="27" t="s">
        <v>129</v>
      </c>
      <c r="C8" s="7"/>
      <c r="D8" s="21"/>
      <c r="F8">
        <v>2</v>
      </c>
      <c r="G8">
        <v>5</v>
      </c>
    </row>
    <row r="9" spans="1:7" x14ac:dyDescent="0.3">
      <c r="B9" s="28"/>
      <c r="C9" s="28"/>
      <c r="D9" s="34"/>
    </row>
    <row r="10" spans="1:7" x14ac:dyDescent="0.3">
      <c r="F10">
        <f>SUM(F2:F8)</f>
        <v>12</v>
      </c>
      <c r="G10">
        <f>SUM(G2:G8)</f>
        <v>30</v>
      </c>
    </row>
    <row r="11" spans="1:7" ht="18" x14ac:dyDescent="0.3">
      <c r="C11" s="74">
        <f>F11</f>
        <v>40</v>
      </c>
      <c r="F11" s="47">
        <f>(F10*G11)/G10</f>
        <v>40</v>
      </c>
      <c r="G11">
        <v>100</v>
      </c>
    </row>
    <row r="12" spans="1:7" x14ac:dyDescent="0.3">
      <c r="C12" s="74"/>
    </row>
  </sheetData>
  <dataConsolidate/>
  <mergeCells count="1">
    <mergeCell ref="C11:C12"/>
  </mergeCells>
  <pageMargins left="0.7" right="0.7" top="0.75" bottom="0.75" header="0.3" footer="0.3"/>
  <pageSetup orientation="portrait" r:id="rId1"/>
  <drawing r:id="rId2"/>
  <legacyDrawing r:id="rId3"/>
  <controls>
    <mc:AlternateContent xmlns:mc="http://schemas.openxmlformats.org/markup-compatibility/2006">
      <mc:Choice Requires="x14">
        <control shapeId="8220" r:id="rId4" name="btnUnitTesting_Calculate">
          <controlPr defaultSize="0" autoLine="0" r:id="rId5">
            <anchor moveWithCells="1">
              <from>
                <xdr:col>1</xdr:col>
                <xdr:colOff>1668780</xdr:colOff>
                <xdr:row>9</xdr:row>
                <xdr:rowOff>175260</xdr:rowOff>
              </from>
              <to>
                <xdr:col>1</xdr:col>
                <xdr:colOff>3177540</xdr:colOff>
                <xdr:row>11</xdr:row>
                <xdr:rowOff>137160</xdr:rowOff>
              </to>
            </anchor>
          </controlPr>
        </control>
      </mc:Choice>
      <mc:Fallback>
        <control shapeId="8220" r:id="rId4" name="btnUnitTesting_Calculate"/>
      </mc:Fallback>
    </mc:AlternateContent>
    <mc:AlternateContent xmlns:mc="http://schemas.openxmlformats.org/markup-compatibility/2006">
      <mc:Choice Requires="x14">
        <control shapeId="8212" r:id="rId6" name="lstUnitTesting_WhereMetrics">
          <controlPr autoLine="0" linkedCell="C8" listFillRange="DataNew!$K$20:$K$26" r:id="rId7">
            <anchor moveWithCells="1" sizeWithCells="1">
              <from>
                <xdr:col>2</xdr:col>
                <xdr:colOff>7620</xdr:colOff>
                <xdr:row>7</xdr:row>
                <xdr:rowOff>15240</xdr:rowOff>
              </from>
              <to>
                <xdr:col>2</xdr:col>
                <xdr:colOff>1691640</xdr:colOff>
                <xdr:row>7</xdr:row>
                <xdr:rowOff>556260</xdr:rowOff>
              </to>
            </anchor>
          </controlPr>
        </control>
      </mc:Choice>
      <mc:Fallback>
        <control shapeId="8212" r:id="rId6" name="lstUnitTesting_WhereMetrics"/>
      </mc:Fallback>
    </mc:AlternateContent>
    <mc:AlternateContent xmlns:mc="http://schemas.openxmlformats.org/markup-compatibility/2006">
      <mc:Choice Requires="x14">
        <control shapeId="8211" r:id="rId8" name="lstUnitTesting_WhatMetrics">
          <controlPr autoLine="0" linkedCell="C7" listFillRange="DataNew!$H$20:$H$26" r:id="rId9">
            <anchor moveWithCells="1" sizeWithCells="1">
              <from>
                <xdr:col>2</xdr:col>
                <xdr:colOff>7620</xdr:colOff>
                <xdr:row>6</xdr:row>
                <xdr:rowOff>7620</xdr:rowOff>
              </from>
              <to>
                <xdr:col>3</xdr:col>
                <xdr:colOff>0</xdr:colOff>
                <xdr:row>6</xdr:row>
                <xdr:rowOff>548640</xdr:rowOff>
              </to>
            </anchor>
          </controlPr>
        </control>
      </mc:Choice>
      <mc:Fallback>
        <control shapeId="8211" r:id="rId8" name="lstUnitTesting_WhatMetrics"/>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DataNew!$B$20:$B$22</xm:f>
          </x14:formula1>
          <xm:sqref>C2:C5</xm:sqref>
        </x14:dataValidation>
        <x14:dataValidation type="list" allowBlank="1" showInputMessage="1" showErrorMessage="1">
          <x14:formula1>
            <xm:f>DataNew!$E$20:$E$25</xm:f>
          </x14:formula1>
          <xm:sqref>C6</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CodeQualityAndAnalytics"/>
  <dimension ref="A1:H28"/>
  <sheetViews>
    <sheetView workbookViewId="0">
      <selection activeCell="G1" sqref="G1:H1048576"/>
    </sheetView>
  </sheetViews>
  <sheetFormatPr defaultRowHeight="14.4" x14ac:dyDescent="0.3"/>
  <cols>
    <col min="2" max="2" width="55.21875" bestFit="1" customWidth="1"/>
    <col min="3" max="3" width="24.88671875" style="1" customWidth="1"/>
    <col min="4" max="4" width="24.88671875" customWidth="1"/>
    <col min="5" max="5" width="44.77734375" style="5" customWidth="1"/>
    <col min="7" max="8" width="8.88671875" hidden="1" customWidth="1"/>
  </cols>
  <sheetData>
    <row r="1" spans="1:8" x14ac:dyDescent="0.3">
      <c r="D1" s="78" t="s">
        <v>116</v>
      </c>
      <c r="E1" s="78"/>
      <c r="G1" s="4" t="s">
        <v>317</v>
      </c>
      <c r="H1" s="4" t="s">
        <v>318</v>
      </c>
    </row>
    <row r="2" spans="1:8" x14ac:dyDescent="0.3">
      <c r="A2" s="28" t="s">
        <v>243</v>
      </c>
      <c r="B2" s="7"/>
      <c r="C2" s="13"/>
      <c r="D2" s="7"/>
      <c r="E2" s="27"/>
    </row>
    <row r="3" spans="1:8" hidden="1" x14ac:dyDescent="0.3">
      <c r="A3" s="49" t="s">
        <v>319</v>
      </c>
      <c r="B3" s="7" t="s">
        <v>358</v>
      </c>
      <c r="C3" s="14" t="s">
        <v>2</v>
      </c>
      <c r="D3" s="75"/>
      <c r="E3" s="76"/>
      <c r="G3">
        <v>0</v>
      </c>
      <c r="H3">
        <v>0</v>
      </c>
    </row>
    <row r="4" spans="1:8" ht="28.8" x14ac:dyDescent="0.3">
      <c r="A4" s="49" t="s">
        <v>320</v>
      </c>
      <c r="B4" s="7" t="s">
        <v>239</v>
      </c>
      <c r="C4" s="14" t="s">
        <v>241</v>
      </c>
      <c r="D4" s="75"/>
      <c r="E4" s="76"/>
      <c r="G4">
        <v>0</v>
      </c>
      <c r="H4">
        <v>5</v>
      </c>
    </row>
    <row r="5" spans="1:8" ht="28.8" x14ac:dyDescent="0.3">
      <c r="A5" s="50" t="s">
        <v>321</v>
      </c>
      <c r="B5" s="13" t="s">
        <v>359</v>
      </c>
      <c r="C5" s="14" t="s">
        <v>1</v>
      </c>
      <c r="D5" s="75"/>
      <c r="E5" s="76"/>
      <c r="G5">
        <v>5</v>
      </c>
      <c r="H5">
        <v>5</v>
      </c>
    </row>
    <row r="6" spans="1:8" x14ac:dyDescent="0.3">
      <c r="A6" s="28" t="s">
        <v>244</v>
      </c>
      <c r="B6" s="7"/>
      <c r="C6" s="13"/>
      <c r="D6" s="7"/>
      <c r="E6" s="27"/>
    </row>
    <row r="7" spans="1:8" ht="28.8" x14ac:dyDescent="0.3">
      <c r="A7" s="50" t="s">
        <v>322</v>
      </c>
      <c r="B7" s="7" t="s">
        <v>246</v>
      </c>
      <c r="C7" s="14" t="s">
        <v>245</v>
      </c>
      <c r="D7" s="75"/>
      <c r="E7" s="76"/>
      <c r="G7">
        <v>0</v>
      </c>
      <c r="H7">
        <v>5</v>
      </c>
    </row>
    <row r="8" spans="1:8" ht="14.4" customHeight="1" x14ac:dyDescent="0.3">
      <c r="A8" s="50" t="s">
        <v>323</v>
      </c>
      <c r="B8" s="7" t="s">
        <v>248</v>
      </c>
      <c r="C8" s="14" t="s">
        <v>247</v>
      </c>
      <c r="D8" s="75"/>
      <c r="E8" s="76"/>
      <c r="G8">
        <v>4</v>
      </c>
      <c r="H8">
        <v>5</v>
      </c>
    </row>
    <row r="9" spans="1:8" hidden="1" x14ac:dyDescent="0.3">
      <c r="A9" s="50" t="s">
        <v>324</v>
      </c>
      <c r="B9" s="7" t="s">
        <v>250</v>
      </c>
      <c r="C9" s="14" t="s">
        <v>346</v>
      </c>
      <c r="D9" s="75"/>
      <c r="E9" s="76"/>
      <c r="G9">
        <v>0</v>
      </c>
      <c r="H9">
        <v>0</v>
      </c>
    </row>
    <row r="10" spans="1:8" x14ac:dyDescent="0.3">
      <c r="A10" s="50" t="s">
        <v>325</v>
      </c>
      <c r="B10" s="7" t="s">
        <v>84</v>
      </c>
      <c r="C10" s="14" t="s">
        <v>252</v>
      </c>
      <c r="D10" s="75"/>
      <c r="E10" s="76"/>
      <c r="G10">
        <v>4</v>
      </c>
      <c r="H10">
        <v>5</v>
      </c>
    </row>
    <row r="11" spans="1:8" x14ac:dyDescent="0.3">
      <c r="A11" s="49"/>
      <c r="B11" s="7"/>
      <c r="C11" s="15" t="s">
        <v>81</v>
      </c>
      <c r="D11" s="15" t="s">
        <v>253</v>
      </c>
      <c r="E11" s="27"/>
    </row>
    <row r="12" spans="1:8" x14ac:dyDescent="0.3">
      <c r="A12" s="50" t="s">
        <v>342</v>
      </c>
      <c r="B12" s="77" t="s">
        <v>254</v>
      </c>
      <c r="C12" s="13" t="s">
        <v>82</v>
      </c>
      <c r="D12" s="12" t="s">
        <v>352</v>
      </c>
      <c r="E12" s="24"/>
      <c r="G12">
        <v>5</v>
      </c>
      <c r="H12">
        <v>5</v>
      </c>
    </row>
    <row r="13" spans="1:8" x14ac:dyDescent="0.3">
      <c r="A13" s="50" t="s">
        <v>343</v>
      </c>
      <c r="B13" s="77"/>
      <c r="C13" s="13" t="s">
        <v>138</v>
      </c>
      <c r="D13" s="12" t="s">
        <v>352</v>
      </c>
      <c r="E13" s="24"/>
      <c r="G13">
        <v>0</v>
      </c>
      <c r="H13">
        <v>5</v>
      </c>
    </row>
    <row r="14" spans="1:8" x14ac:dyDescent="0.3">
      <c r="A14" s="50" t="s">
        <v>344</v>
      </c>
      <c r="B14" s="77"/>
      <c r="C14" s="13" t="s">
        <v>83</v>
      </c>
      <c r="D14" s="12" t="s">
        <v>349</v>
      </c>
      <c r="E14" s="24"/>
      <c r="G14">
        <v>5</v>
      </c>
      <c r="H14">
        <v>5</v>
      </c>
    </row>
    <row r="15" spans="1:8" x14ac:dyDescent="0.3">
      <c r="A15" s="50" t="s">
        <v>345</v>
      </c>
      <c r="B15" s="77"/>
      <c r="C15" s="13" t="s">
        <v>41</v>
      </c>
      <c r="D15" s="12" t="s">
        <v>464</v>
      </c>
      <c r="E15" s="24"/>
      <c r="G15">
        <v>0</v>
      </c>
      <c r="H15">
        <v>5</v>
      </c>
    </row>
    <row r="16" spans="1:8" x14ac:dyDescent="0.3">
      <c r="A16" s="28" t="s">
        <v>255</v>
      </c>
      <c r="B16" s="7"/>
      <c r="C16" s="13"/>
      <c r="D16" s="7"/>
      <c r="E16" s="27"/>
    </row>
    <row r="17" spans="1:8" x14ac:dyDescent="0.3">
      <c r="A17" s="50" t="s">
        <v>327</v>
      </c>
      <c r="B17" s="7" t="s">
        <v>256</v>
      </c>
      <c r="C17" s="14" t="s">
        <v>2</v>
      </c>
      <c r="D17" s="75"/>
      <c r="E17" s="76"/>
      <c r="G17">
        <v>0</v>
      </c>
      <c r="H17">
        <v>5</v>
      </c>
    </row>
    <row r="18" spans="1:8" ht="28.8" x14ac:dyDescent="0.3">
      <c r="A18" s="50" t="s">
        <v>328</v>
      </c>
      <c r="B18" s="7" t="s">
        <v>257</v>
      </c>
      <c r="C18" s="14" t="s">
        <v>259</v>
      </c>
      <c r="D18" s="75"/>
      <c r="E18" s="76"/>
      <c r="G18">
        <v>0</v>
      </c>
      <c r="H18">
        <v>0</v>
      </c>
    </row>
    <row r="19" spans="1:8" x14ac:dyDescent="0.3">
      <c r="A19" s="50" t="s">
        <v>329</v>
      </c>
      <c r="B19" s="7" t="s">
        <v>262</v>
      </c>
      <c r="C19" s="14" t="s">
        <v>2</v>
      </c>
      <c r="D19" s="75"/>
      <c r="E19" s="76"/>
      <c r="G19">
        <v>0</v>
      </c>
      <c r="H19">
        <v>5</v>
      </c>
    </row>
    <row r="20" spans="1:8" ht="49.2" customHeight="1" x14ac:dyDescent="0.3">
      <c r="A20" s="50" t="s">
        <v>330</v>
      </c>
      <c r="B20" s="27" t="s">
        <v>264</v>
      </c>
      <c r="C20" s="13"/>
      <c r="D20" s="75"/>
      <c r="E20" s="76"/>
      <c r="G20">
        <v>2</v>
      </c>
      <c r="H20">
        <v>5</v>
      </c>
    </row>
    <row r="21" spans="1:8" ht="28.8" x14ac:dyDescent="0.3">
      <c r="A21" s="50" t="s">
        <v>331</v>
      </c>
      <c r="B21" s="7" t="s">
        <v>265</v>
      </c>
      <c r="C21" s="14" t="s">
        <v>87</v>
      </c>
      <c r="D21" s="75"/>
      <c r="E21" s="76"/>
      <c r="G21">
        <v>2</v>
      </c>
      <c r="H21">
        <v>5</v>
      </c>
    </row>
    <row r="22" spans="1:8" x14ac:dyDescent="0.3">
      <c r="A22" s="28" t="s">
        <v>266</v>
      </c>
      <c r="B22" s="7"/>
      <c r="C22" s="13"/>
      <c r="D22" s="7"/>
      <c r="E22" s="27"/>
    </row>
    <row r="23" spans="1:8" ht="49.2" customHeight="1" x14ac:dyDescent="0.3">
      <c r="A23" s="50" t="s">
        <v>332</v>
      </c>
      <c r="B23" s="27" t="s">
        <v>497</v>
      </c>
      <c r="C23" s="13"/>
      <c r="D23" s="75"/>
      <c r="E23" s="76"/>
      <c r="G23">
        <v>2</v>
      </c>
      <c r="H23">
        <v>5</v>
      </c>
    </row>
    <row r="24" spans="1:8" ht="49.2" customHeight="1" x14ac:dyDescent="0.3">
      <c r="A24" s="50" t="s">
        <v>333</v>
      </c>
      <c r="B24" s="27" t="s">
        <v>270</v>
      </c>
      <c r="C24" s="13"/>
      <c r="D24" s="75"/>
      <c r="E24" s="76"/>
      <c r="G24">
        <v>2</v>
      </c>
      <c r="H24">
        <v>5</v>
      </c>
    </row>
    <row r="26" spans="1:8" x14ac:dyDescent="0.3">
      <c r="G26">
        <f>SUM(G3:G24)</f>
        <v>31</v>
      </c>
      <c r="H26">
        <f>SUM(H3:H24)</f>
        <v>75</v>
      </c>
    </row>
    <row r="27" spans="1:8" x14ac:dyDescent="0.3">
      <c r="C27" s="74">
        <f>G27</f>
        <v>41.333333333333336</v>
      </c>
      <c r="G27">
        <f>(G26*H27)/H26</f>
        <v>41.333333333333336</v>
      </c>
      <c r="H27">
        <v>100</v>
      </c>
    </row>
    <row r="28" spans="1:8" x14ac:dyDescent="0.3">
      <c r="C28" s="74"/>
    </row>
  </sheetData>
  <dataConsolidate/>
  <mergeCells count="17">
    <mergeCell ref="D9:E9"/>
    <mergeCell ref="D10:E10"/>
    <mergeCell ref="B12:B15"/>
    <mergeCell ref="D1:E1"/>
    <mergeCell ref="C27:C28"/>
    <mergeCell ref="D23:E23"/>
    <mergeCell ref="D24:E24"/>
    <mergeCell ref="D20:E20"/>
    <mergeCell ref="D21:E21"/>
    <mergeCell ref="D17:E17"/>
    <mergeCell ref="D18:E18"/>
    <mergeCell ref="D19:E19"/>
    <mergeCell ref="D3:E3"/>
    <mergeCell ref="D4:E4"/>
    <mergeCell ref="D5:E5"/>
    <mergeCell ref="D7:E7"/>
    <mergeCell ref="D8:E8"/>
  </mergeCells>
  <pageMargins left="0.7" right="0.7" top="0.75" bottom="0.75" header="0.3" footer="0.3"/>
  <pageSetup orientation="portrait" r:id="rId1"/>
  <drawing r:id="rId2"/>
  <legacyDrawing r:id="rId3"/>
  <controls>
    <mc:AlternateContent xmlns:mc="http://schemas.openxmlformats.org/markup-compatibility/2006">
      <mc:Choice Requires="x14">
        <control shapeId="9244" r:id="rId4" name="ListBox10">
          <controlPr autoLine="0" linkedCell="C24" listFillRange="DataNew!$AX$31:$AX$37" r:id="rId5">
            <anchor moveWithCells="1" sizeWithCells="1">
              <from>
                <xdr:col>2</xdr:col>
                <xdr:colOff>22860</xdr:colOff>
                <xdr:row>23</xdr:row>
                <xdr:rowOff>15240</xdr:rowOff>
              </from>
              <to>
                <xdr:col>3</xdr:col>
                <xdr:colOff>0</xdr:colOff>
                <xdr:row>23</xdr:row>
                <xdr:rowOff>556260</xdr:rowOff>
              </to>
            </anchor>
          </controlPr>
        </control>
      </mc:Choice>
      <mc:Fallback>
        <control shapeId="9244" r:id="rId4" name="ListBox10"/>
      </mc:Fallback>
    </mc:AlternateContent>
    <mc:AlternateContent xmlns:mc="http://schemas.openxmlformats.org/markup-compatibility/2006">
      <mc:Choice Requires="x14">
        <control shapeId="9243" r:id="rId6" name="ListBox9">
          <controlPr autoLine="0" linkedCell="C23" listFillRange="DataNew!$AU$31:$AU$37" r:id="rId7">
            <anchor moveWithCells="1" sizeWithCells="1">
              <from>
                <xdr:col>2</xdr:col>
                <xdr:colOff>22860</xdr:colOff>
                <xdr:row>22</xdr:row>
                <xdr:rowOff>15240</xdr:rowOff>
              </from>
              <to>
                <xdr:col>3</xdr:col>
                <xdr:colOff>0</xdr:colOff>
                <xdr:row>22</xdr:row>
                <xdr:rowOff>556260</xdr:rowOff>
              </to>
            </anchor>
          </controlPr>
        </control>
      </mc:Choice>
      <mc:Fallback>
        <control shapeId="9243" r:id="rId6" name="ListBox9"/>
      </mc:Fallback>
    </mc:AlternateContent>
    <mc:AlternateContent xmlns:mc="http://schemas.openxmlformats.org/markup-compatibility/2006">
      <mc:Choice Requires="x14">
        <control shapeId="9241" r:id="rId8" name="ListBox8">
          <controlPr autoLine="0" linkedCell="C20" listFillRange="DataNew!$AO$31:$AO$36" r:id="rId9">
            <anchor moveWithCells="1" sizeWithCells="1">
              <from>
                <xdr:col>2</xdr:col>
                <xdr:colOff>22860</xdr:colOff>
                <xdr:row>19</xdr:row>
                <xdr:rowOff>15240</xdr:rowOff>
              </from>
              <to>
                <xdr:col>3</xdr:col>
                <xdr:colOff>0</xdr:colOff>
                <xdr:row>19</xdr:row>
                <xdr:rowOff>556260</xdr:rowOff>
              </to>
            </anchor>
          </controlPr>
        </control>
      </mc:Choice>
      <mc:Fallback>
        <control shapeId="9241" r:id="rId8" name="ListBox8"/>
      </mc:Fallback>
    </mc:AlternateContent>
    <mc:AlternateContent xmlns:mc="http://schemas.openxmlformats.org/markup-compatibility/2006">
      <mc:Choice Requires="x14">
        <control shapeId="9217" r:id="rId10" name="ListBox1">
          <controlPr autoLine="0" linkedCell="#REF!" listFillRange="#REF!" r:id="rId11">
            <anchor moveWithCells="1" sizeWithCells="1">
              <from>
                <xdr:col>2</xdr:col>
                <xdr:colOff>7620</xdr:colOff>
                <xdr:row>0</xdr:row>
                <xdr:rowOff>175260</xdr:rowOff>
              </from>
              <to>
                <xdr:col>2</xdr:col>
                <xdr:colOff>1691640</xdr:colOff>
                <xdr:row>1</xdr:row>
                <xdr:rowOff>0</xdr:rowOff>
              </to>
            </anchor>
          </controlPr>
        </control>
      </mc:Choice>
      <mc:Fallback>
        <control shapeId="9217" r:id="rId10" name="ListBox1"/>
      </mc:Fallback>
    </mc:AlternateContent>
    <mc:AlternateContent xmlns:mc="http://schemas.openxmlformats.org/markup-compatibility/2006">
      <mc:Choice Requires="x14">
        <control shapeId="9245" r:id="rId12" name="CommandButton1">
          <controlPr defaultSize="0" autoLine="0" r:id="rId13">
            <anchor moveWithCells="1">
              <from>
                <xdr:col>1</xdr:col>
                <xdr:colOff>2263140</xdr:colOff>
                <xdr:row>26</xdr:row>
                <xdr:rowOff>7620</xdr:rowOff>
              </from>
              <to>
                <xdr:col>1</xdr:col>
                <xdr:colOff>3771900</xdr:colOff>
                <xdr:row>28</xdr:row>
                <xdr:rowOff>15240</xdr:rowOff>
              </to>
            </anchor>
          </controlPr>
        </control>
      </mc:Choice>
      <mc:Fallback>
        <control shapeId="9245" r:id="rId12" name="CommandButton1"/>
      </mc:Fallback>
    </mc:AlternateContent>
  </controls>
  <extLst>
    <ext xmlns:x14="http://schemas.microsoft.com/office/spreadsheetml/2009/9/main" uri="{CCE6A557-97BC-4b89-ADB6-D9C93CAAB3DF}">
      <x14:dataValidations xmlns:xm="http://schemas.microsoft.com/office/excel/2006/main" count="15">
        <x14:dataValidation type="list" allowBlank="1" showInputMessage="1" showErrorMessage="1">
          <x14:formula1>
            <xm:f>DataNew!$B$31:$B$32</xm:f>
          </x14:formula1>
          <xm:sqref>C19</xm:sqref>
        </x14:dataValidation>
        <x14:dataValidation type="list" allowBlank="1" showInputMessage="1" showErrorMessage="1">
          <x14:formula1>
            <xm:f>DataNew!$B$31:$B$32</xm:f>
          </x14:formula1>
          <xm:sqref>C3</xm:sqref>
        </x14:dataValidation>
        <x14:dataValidation type="list" allowBlank="1" showInputMessage="1" showErrorMessage="1">
          <x14:formula1>
            <xm:f>DataNew!$E$31:$E$33</xm:f>
          </x14:formula1>
          <xm:sqref>C4</xm:sqref>
        </x14:dataValidation>
        <x14:dataValidation type="list" allowBlank="1" showInputMessage="1" showErrorMessage="1">
          <x14:formula1>
            <xm:f>DataNew!$H$31:$H$33</xm:f>
          </x14:formula1>
          <xm:sqref>C5</xm:sqref>
        </x14:dataValidation>
        <x14:dataValidation type="list" allowBlank="1" showInputMessage="1" showErrorMessage="1">
          <x14:formula1>
            <xm:f>DataNew!$K$31:$K$33</xm:f>
          </x14:formula1>
          <xm:sqref>C7</xm:sqref>
        </x14:dataValidation>
        <x14:dataValidation type="list" allowBlank="1" showInputMessage="1" showErrorMessage="1">
          <x14:formula1>
            <xm:f>DataNew!$Q$31:$Q$37</xm:f>
          </x14:formula1>
          <xm:sqref>C9</xm:sqref>
        </x14:dataValidation>
        <x14:dataValidation type="list" allowBlank="1" showInputMessage="1" showErrorMessage="1">
          <x14:formula1>
            <xm:f>DataNew!$T$31:$T$36</xm:f>
          </x14:formula1>
          <xm:sqref>C10</xm:sqref>
        </x14:dataValidation>
        <x14:dataValidation type="list" allowBlank="1" showInputMessage="1" showErrorMessage="1" errorTitle="Rating?" error="Please input rating" promptTitle="Rating" prompt="Please input rating">
          <x14:formula1>
            <xm:f>DataNew!$W$31:$W$36</xm:f>
          </x14:formula1>
          <xm:sqref>D12</xm:sqref>
        </x14:dataValidation>
        <x14:dataValidation type="list" allowBlank="1" showInputMessage="1" showErrorMessage="1">
          <x14:formula1>
            <xm:f>DataNew!$N$31:$N$36</xm:f>
          </x14:formula1>
          <xm:sqref>C8</xm:sqref>
        </x14:dataValidation>
        <x14:dataValidation type="list" allowBlank="1" showInputMessage="1" showErrorMessage="1">
          <x14:formula1>
            <xm:f>DataNew!$AI$31:$AI$32</xm:f>
          </x14:formula1>
          <xm:sqref>C17</xm:sqref>
        </x14:dataValidation>
        <x14:dataValidation type="list" allowBlank="1" showInputMessage="1" showErrorMessage="1">
          <x14:formula1>
            <xm:f>DataNew!$AL$31:$AL$34</xm:f>
          </x14:formula1>
          <xm:sqref>C18</xm:sqref>
        </x14:dataValidation>
        <x14:dataValidation type="list" allowBlank="1" showInputMessage="1" showErrorMessage="1">
          <x14:formula1>
            <xm:f>DataNew!$AR$31:$AR$37</xm:f>
          </x14:formula1>
          <xm:sqref>C21</xm:sqref>
        </x14:dataValidation>
        <x14:dataValidation type="list" allowBlank="1" showInputMessage="1" showErrorMessage="1" errorTitle="Rating?" error="Please input rating" promptTitle="Rating" prompt="Please input rating">
          <x14:formula1>
            <xm:f>DataNew!$Z$31:$Z$36</xm:f>
          </x14:formula1>
          <xm:sqref>D13</xm:sqref>
        </x14:dataValidation>
        <x14:dataValidation type="list" allowBlank="1" showInputMessage="1" showErrorMessage="1" errorTitle="Rating?" error="Please input rating" promptTitle="Rating" prompt="Please input rating">
          <x14:formula1>
            <xm:f>DataNew!$AC$31:$AC$36</xm:f>
          </x14:formula1>
          <xm:sqref>D14</xm:sqref>
        </x14:dataValidation>
        <x14:dataValidation type="list" allowBlank="1" showInputMessage="1" showErrorMessage="1" errorTitle="Rating?" error="Please input rating" promptTitle="Rating" prompt="Please input rating">
          <x14:formula1>
            <xm:f>DataNew!$AF$31:$AF$36</xm:f>
          </x14:formula1>
          <xm:sqref>D15</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ckaging"/>
  <dimension ref="A1:G11"/>
  <sheetViews>
    <sheetView workbookViewId="0">
      <selection activeCell="B18" sqref="B18"/>
    </sheetView>
  </sheetViews>
  <sheetFormatPr defaultRowHeight="14.4" x14ac:dyDescent="0.3"/>
  <cols>
    <col min="2" max="2" width="72.6640625" bestFit="1" customWidth="1"/>
    <col min="3" max="3" width="24.88671875" customWidth="1"/>
    <col min="4" max="4" width="44.77734375" style="5" customWidth="1"/>
    <col min="6" max="7" width="0" hidden="1" customWidth="1"/>
  </cols>
  <sheetData>
    <row r="1" spans="1:7" x14ac:dyDescent="0.3">
      <c r="D1" s="4" t="s">
        <v>116</v>
      </c>
      <c r="F1" s="4" t="s">
        <v>317</v>
      </c>
      <c r="G1" s="4" t="s">
        <v>318</v>
      </c>
    </row>
    <row r="2" spans="1:7" x14ac:dyDescent="0.3">
      <c r="A2" t="s">
        <v>319</v>
      </c>
      <c r="B2" s="7" t="s">
        <v>360</v>
      </c>
      <c r="C2" s="12" t="s">
        <v>1</v>
      </c>
      <c r="D2" s="24"/>
      <c r="F2">
        <v>5</v>
      </c>
      <c r="G2">
        <v>5</v>
      </c>
    </row>
    <row r="3" spans="1:7" x14ac:dyDescent="0.3">
      <c r="A3" t="s">
        <v>320</v>
      </c>
      <c r="B3" s="7" t="s">
        <v>140</v>
      </c>
      <c r="C3" s="12" t="s">
        <v>1</v>
      </c>
      <c r="D3" s="24"/>
      <c r="F3">
        <v>5</v>
      </c>
      <c r="G3">
        <v>5</v>
      </c>
    </row>
    <row r="4" spans="1:7" x14ac:dyDescent="0.3">
      <c r="A4" t="s">
        <v>321</v>
      </c>
      <c r="B4" s="7" t="s">
        <v>271</v>
      </c>
      <c r="C4" s="12" t="s">
        <v>468</v>
      </c>
      <c r="D4" s="24"/>
      <c r="F4">
        <v>5</v>
      </c>
      <c r="G4">
        <v>5</v>
      </c>
    </row>
    <row r="5" spans="1:7" x14ac:dyDescent="0.3">
      <c r="A5" t="s">
        <v>322</v>
      </c>
      <c r="B5" s="7" t="s">
        <v>272</v>
      </c>
      <c r="C5" s="37" t="s">
        <v>273</v>
      </c>
      <c r="D5" s="24"/>
      <c r="F5">
        <v>5</v>
      </c>
      <c r="G5">
        <v>5</v>
      </c>
    </row>
    <row r="6" spans="1:7" ht="28.8" x14ac:dyDescent="0.3">
      <c r="A6" t="s">
        <v>323</v>
      </c>
      <c r="B6" s="38" t="s">
        <v>361</v>
      </c>
      <c r="C6" s="12" t="s">
        <v>275</v>
      </c>
      <c r="D6" s="24"/>
      <c r="F6">
        <v>5</v>
      </c>
      <c r="G6">
        <v>5</v>
      </c>
    </row>
    <row r="7" spans="1:7" x14ac:dyDescent="0.3">
      <c r="A7" t="s">
        <v>324</v>
      </c>
      <c r="B7" s="7" t="s">
        <v>4</v>
      </c>
      <c r="C7" s="12" t="s">
        <v>6</v>
      </c>
      <c r="D7" s="24"/>
      <c r="F7">
        <v>2</v>
      </c>
      <c r="G7">
        <v>5</v>
      </c>
    </row>
    <row r="9" spans="1:7" x14ac:dyDescent="0.3">
      <c r="F9">
        <f>SUM(F2:F7)</f>
        <v>27</v>
      </c>
      <c r="G9">
        <f>SUM(G2:G7)</f>
        <v>30</v>
      </c>
    </row>
    <row r="10" spans="1:7" x14ac:dyDescent="0.3">
      <c r="C10" s="74">
        <f>F10</f>
        <v>90</v>
      </c>
      <c r="F10">
        <f>(F9*G10)/G9</f>
        <v>90</v>
      </c>
      <c r="G10">
        <v>100</v>
      </c>
    </row>
    <row r="11" spans="1:7" x14ac:dyDescent="0.3">
      <c r="C11" s="74"/>
    </row>
  </sheetData>
  <mergeCells count="1">
    <mergeCell ref="C10:C11"/>
  </mergeCells>
  <pageMargins left="0.7" right="0.7" top="0.75" bottom="0.75" header="0.3" footer="0.3"/>
  <pageSetup orientation="portrait" r:id="rId1"/>
  <drawing r:id="rId2"/>
  <legacyDrawing r:id="rId3"/>
  <controls>
    <mc:AlternateContent xmlns:mc="http://schemas.openxmlformats.org/markup-compatibility/2006">
      <mc:Choice Requires="x14">
        <control shapeId="23555" r:id="rId4" name="btnPackaging_Calculate">
          <controlPr defaultSize="0" autoLine="0" r:id="rId5">
            <anchor moveWithCells="1">
              <from>
                <xdr:col>1</xdr:col>
                <xdr:colOff>3451860</xdr:colOff>
                <xdr:row>8</xdr:row>
                <xdr:rowOff>175260</xdr:rowOff>
              </from>
              <to>
                <xdr:col>1</xdr:col>
                <xdr:colOff>4960620</xdr:colOff>
                <xdr:row>11</xdr:row>
                <xdr:rowOff>0</xdr:rowOff>
              </to>
            </anchor>
          </controlPr>
        </control>
      </mc:Choice>
      <mc:Fallback>
        <control shapeId="23555" r:id="rId4" name="btnPackaging_Calculate"/>
      </mc:Fallback>
    </mc:AlternateContent>
  </controls>
  <extLst>
    <ext xmlns:x14="http://schemas.microsoft.com/office/spreadsheetml/2009/9/main" uri="{CCE6A557-97BC-4b89-ADB6-D9C93CAAB3DF}">
      <x14:dataValidations xmlns:xm="http://schemas.microsoft.com/office/excel/2006/main" count="6">
        <x14:dataValidation type="list" allowBlank="1" showInputMessage="1" showErrorMessage="1">
          <x14:formula1>
            <xm:f>DataNew!$B$40:$B$41</xm:f>
          </x14:formula1>
          <xm:sqref>C2</xm:sqref>
        </x14:dataValidation>
        <x14:dataValidation type="list" allowBlank="1" showInputMessage="1" showErrorMessage="1">
          <x14:formula1>
            <xm:f>DataNew!$E$40:$E$42</xm:f>
          </x14:formula1>
          <xm:sqref>C3</xm:sqref>
        </x14:dataValidation>
        <x14:dataValidation type="list" allowBlank="1" showInputMessage="1" showErrorMessage="1">
          <x14:formula1>
            <xm:f>DataNew!$N$40:$N$44</xm:f>
          </x14:formula1>
          <xm:sqref>C6</xm:sqref>
        </x14:dataValidation>
        <x14:dataValidation type="list" allowBlank="1" showInputMessage="1" showErrorMessage="1">
          <x14:formula1>
            <xm:f>DataNew!$K$40:$K$43</xm:f>
          </x14:formula1>
          <xm:sqref>C5</xm:sqref>
        </x14:dataValidation>
        <x14:dataValidation type="list" allowBlank="1" showInputMessage="1" showErrorMessage="1">
          <x14:formula1>
            <xm:f>DataNew!$Q$40:$Q$43</xm:f>
          </x14:formula1>
          <xm:sqref>C7</xm:sqref>
        </x14:dataValidation>
        <x14:dataValidation type="list" allowBlank="1" showInputMessage="1" showErrorMessage="1">
          <x14:formula1>
            <xm:f>DataNew!$H$40:$H$43</xm:f>
          </x14:formula1>
          <xm:sqref>C4</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uild"/>
  <dimension ref="A1:G13"/>
  <sheetViews>
    <sheetView workbookViewId="0">
      <selection activeCell="F11" sqref="F11"/>
    </sheetView>
  </sheetViews>
  <sheetFormatPr defaultRowHeight="14.4" x14ac:dyDescent="0.3"/>
  <cols>
    <col min="2" max="2" width="61" bestFit="1" customWidth="1"/>
    <col min="3" max="3" width="24.88671875" customWidth="1"/>
    <col min="4" max="4" width="44.77734375" style="5" customWidth="1"/>
    <col min="6" max="7" width="8.88671875" customWidth="1"/>
  </cols>
  <sheetData>
    <row r="1" spans="1:7" x14ac:dyDescent="0.3">
      <c r="D1" s="4" t="s">
        <v>116</v>
      </c>
      <c r="F1" s="4" t="s">
        <v>317</v>
      </c>
      <c r="G1" s="4" t="s">
        <v>318</v>
      </c>
    </row>
    <row r="2" spans="1:7" x14ac:dyDescent="0.3">
      <c r="A2" s="51" t="s">
        <v>319</v>
      </c>
      <c r="B2" s="7" t="s">
        <v>279</v>
      </c>
      <c r="C2" s="12" t="s">
        <v>2</v>
      </c>
      <c r="D2" s="24"/>
      <c r="F2">
        <v>0</v>
      </c>
      <c r="G2">
        <v>5</v>
      </c>
    </row>
    <row r="3" spans="1:7" x14ac:dyDescent="0.3">
      <c r="A3" s="51" t="s">
        <v>320</v>
      </c>
      <c r="B3" s="7" t="s">
        <v>142</v>
      </c>
      <c r="C3" s="12" t="s">
        <v>1</v>
      </c>
      <c r="D3" s="24"/>
      <c r="F3">
        <v>5</v>
      </c>
      <c r="G3">
        <v>5</v>
      </c>
    </row>
    <row r="4" spans="1:7" x14ac:dyDescent="0.3">
      <c r="A4" s="51" t="s">
        <v>321</v>
      </c>
      <c r="B4" s="7" t="s">
        <v>141</v>
      </c>
      <c r="C4" s="12" t="s">
        <v>8</v>
      </c>
      <c r="D4" s="24"/>
      <c r="F4">
        <v>5</v>
      </c>
      <c r="G4">
        <v>5</v>
      </c>
    </row>
    <row r="5" spans="1:7" x14ac:dyDescent="0.3">
      <c r="A5" s="51" t="s">
        <v>322</v>
      </c>
      <c r="B5" s="7" t="s">
        <v>144</v>
      </c>
      <c r="C5" s="12" t="s">
        <v>2</v>
      </c>
      <c r="D5" s="24"/>
      <c r="F5">
        <v>0</v>
      </c>
      <c r="G5">
        <v>5</v>
      </c>
    </row>
    <row r="6" spans="1:7" ht="28.8" x14ac:dyDescent="0.3">
      <c r="A6" s="51" t="s">
        <v>323</v>
      </c>
      <c r="B6" s="38" t="s">
        <v>280</v>
      </c>
      <c r="C6" s="12" t="s">
        <v>1</v>
      </c>
      <c r="D6" s="24"/>
      <c r="F6">
        <v>5</v>
      </c>
      <c r="G6">
        <v>5</v>
      </c>
    </row>
    <row r="7" spans="1:7" ht="28.8" x14ac:dyDescent="0.3">
      <c r="A7" s="51" t="s">
        <v>324</v>
      </c>
      <c r="B7" s="38" t="s">
        <v>281</v>
      </c>
      <c r="C7" s="12" t="s">
        <v>1</v>
      </c>
      <c r="D7" s="24"/>
      <c r="F7">
        <v>5</v>
      </c>
      <c r="G7">
        <v>5</v>
      </c>
    </row>
    <row r="8" spans="1:7" hidden="1" x14ac:dyDescent="0.3">
      <c r="A8" s="51" t="s">
        <v>325</v>
      </c>
      <c r="B8" s="7" t="s">
        <v>64</v>
      </c>
      <c r="C8" s="12" t="s">
        <v>1</v>
      </c>
      <c r="D8" s="24"/>
      <c r="F8">
        <v>0</v>
      </c>
      <c r="G8">
        <v>0</v>
      </c>
    </row>
    <row r="9" spans="1:7" ht="28.8" hidden="1" x14ac:dyDescent="0.3">
      <c r="A9" s="51" t="s">
        <v>326</v>
      </c>
      <c r="B9" s="13" t="s">
        <v>356</v>
      </c>
      <c r="C9" s="12" t="s">
        <v>2</v>
      </c>
      <c r="D9" s="24"/>
      <c r="F9">
        <v>0</v>
      </c>
      <c r="G9">
        <v>0</v>
      </c>
    </row>
    <row r="11" spans="1:7" x14ac:dyDescent="0.3">
      <c r="F11">
        <f>SUM(F2:F9)</f>
        <v>20</v>
      </c>
      <c r="G11">
        <f>SUM(G2:G9)</f>
        <v>30</v>
      </c>
    </row>
    <row r="12" spans="1:7" x14ac:dyDescent="0.3">
      <c r="C12" s="74">
        <f>F12</f>
        <v>66.666666666666671</v>
      </c>
      <c r="F12">
        <f>(F11*G12)/G11</f>
        <v>66.666666666666671</v>
      </c>
      <c r="G12">
        <v>100</v>
      </c>
    </row>
    <row r="13" spans="1:7" x14ac:dyDescent="0.3">
      <c r="C13" s="74"/>
    </row>
  </sheetData>
  <mergeCells count="1">
    <mergeCell ref="C12:C13"/>
  </mergeCells>
  <pageMargins left="0.7" right="0.7" top="0.75" bottom="0.75" header="0.3" footer="0.3"/>
  <drawing r:id="rId1"/>
  <legacyDrawing r:id="rId2"/>
  <controls>
    <mc:AlternateContent xmlns:mc="http://schemas.openxmlformats.org/markup-compatibility/2006">
      <mc:Choice Requires="x14">
        <control shapeId="24577" r:id="rId3" name="btnBuild_Calculate">
          <controlPr defaultSize="0" autoLine="0" r:id="rId4">
            <anchor moveWithCells="1">
              <from>
                <xdr:col>1</xdr:col>
                <xdr:colOff>2659380</xdr:colOff>
                <xdr:row>11</xdr:row>
                <xdr:rowOff>0</xdr:rowOff>
              </from>
              <to>
                <xdr:col>1</xdr:col>
                <xdr:colOff>4168140</xdr:colOff>
                <xdr:row>13</xdr:row>
                <xdr:rowOff>7620</xdr:rowOff>
              </to>
            </anchor>
          </controlPr>
        </control>
      </mc:Choice>
      <mc:Fallback>
        <control shapeId="24577" r:id="rId3" name="btnBuild_Calculate"/>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DataNew!$B$47:$B$48</xm:f>
          </x14:formula1>
          <xm:sqref>C2:C3 C5:C9</xm:sqref>
        </x14:dataValidation>
        <x14:dataValidation type="list" allowBlank="1" showInputMessage="1" showErrorMessage="1">
          <x14:formula1>
            <xm:f>DataNew!$E$47:$E$52</xm:f>
          </x14:formula1>
          <xm:sqref>C4</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esting"/>
  <dimension ref="A1:G51"/>
  <sheetViews>
    <sheetView topLeftCell="A10" zoomScale="120" zoomScaleNormal="120" workbookViewId="0">
      <selection activeCell="E22" sqref="E22"/>
    </sheetView>
  </sheetViews>
  <sheetFormatPr defaultRowHeight="14.4" x14ac:dyDescent="0.3"/>
  <cols>
    <col min="1" max="1" width="8.88671875" style="5"/>
    <col min="2" max="2" width="78" style="5" bestFit="1" customWidth="1"/>
    <col min="3" max="3" width="24.88671875" style="1" customWidth="1"/>
    <col min="4" max="4" width="41.21875" style="6" customWidth="1"/>
    <col min="6" max="7" width="0" hidden="1" customWidth="1"/>
  </cols>
  <sheetData>
    <row r="1" spans="1:7" x14ac:dyDescent="0.3">
      <c r="D1" s="4" t="s">
        <v>116</v>
      </c>
      <c r="F1" s="4" t="s">
        <v>317</v>
      </c>
      <c r="G1" s="4" t="s">
        <v>318</v>
      </c>
    </row>
    <row r="2" spans="1:7" x14ac:dyDescent="0.3">
      <c r="A2" s="66" t="s">
        <v>145</v>
      </c>
      <c r="B2" s="54"/>
      <c r="C2" s="59"/>
      <c r="D2" s="8"/>
    </row>
    <row r="3" spans="1:7" x14ac:dyDescent="0.3">
      <c r="A3" s="62" t="s">
        <v>319</v>
      </c>
      <c r="B3" s="54" t="s">
        <v>282</v>
      </c>
      <c r="C3" s="56" t="s">
        <v>2</v>
      </c>
      <c r="D3" s="21"/>
      <c r="F3">
        <v>0</v>
      </c>
      <c r="G3">
        <v>5</v>
      </c>
    </row>
    <row r="4" spans="1:7" x14ac:dyDescent="0.3">
      <c r="A4" s="62" t="s">
        <v>320</v>
      </c>
      <c r="B4" s="54" t="s">
        <v>289</v>
      </c>
      <c r="C4" s="56" t="s">
        <v>1</v>
      </c>
      <c r="D4" s="21"/>
      <c r="F4">
        <v>5</v>
      </c>
      <c r="G4">
        <v>5</v>
      </c>
    </row>
    <row r="5" spans="1:7" x14ac:dyDescent="0.3">
      <c r="A5" s="62" t="s">
        <v>321</v>
      </c>
      <c r="B5" s="54" t="s">
        <v>149</v>
      </c>
      <c r="C5" s="56" t="s">
        <v>236</v>
      </c>
      <c r="D5" s="21"/>
      <c r="F5">
        <v>3</v>
      </c>
      <c r="G5">
        <v>5</v>
      </c>
    </row>
    <row r="6" spans="1:7" ht="28.8" x14ac:dyDescent="0.3">
      <c r="A6" s="62" t="s">
        <v>322</v>
      </c>
      <c r="B6" s="54" t="s">
        <v>153</v>
      </c>
      <c r="C6" s="56" t="s">
        <v>151</v>
      </c>
      <c r="D6" s="21"/>
      <c r="F6">
        <v>3</v>
      </c>
      <c r="G6">
        <v>5</v>
      </c>
    </row>
    <row r="7" spans="1:7" x14ac:dyDescent="0.3">
      <c r="A7" s="62" t="s">
        <v>323</v>
      </c>
      <c r="B7" s="54" t="s">
        <v>163</v>
      </c>
      <c r="C7" s="56" t="s">
        <v>2</v>
      </c>
      <c r="D7" s="21"/>
      <c r="F7">
        <v>0</v>
      </c>
      <c r="G7">
        <v>5</v>
      </c>
    </row>
    <row r="8" spans="1:7" x14ac:dyDescent="0.3">
      <c r="A8" s="62" t="s">
        <v>324</v>
      </c>
      <c r="B8" s="54" t="s">
        <v>162</v>
      </c>
      <c r="C8" s="56" t="s">
        <v>156</v>
      </c>
      <c r="D8" s="21"/>
      <c r="F8">
        <v>3</v>
      </c>
      <c r="G8">
        <v>5</v>
      </c>
    </row>
    <row r="9" spans="1:7" x14ac:dyDescent="0.3">
      <c r="A9" s="62" t="s">
        <v>325</v>
      </c>
      <c r="B9" s="54" t="s">
        <v>387</v>
      </c>
      <c r="C9" s="56" t="s">
        <v>2</v>
      </c>
      <c r="D9" s="21"/>
      <c r="F9">
        <v>0</v>
      </c>
      <c r="G9">
        <v>5</v>
      </c>
    </row>
    <row r="10" spans="1:7" ht="28.8" x14ac:dyDescent="0.3">
      <c r="A10" s="62" t="s">
        <v>326</v>
      </c>
      <c r="B10" s="54" t="s">
        <v>161</v>
      </c>
      <c r="C10" s="56" t="s">
        <v>482</v>
      </c>
      <c r="D10" s="21"/>
      <c r="F10">
        <v>3</v>
      </c>
      <c r="G10">
        <v>5</v>
      </c>
    </row>
    <row r="11" spans="1:7" x14ac:dyDescent="0.3">
      <c r="A11" s="62" t="s">
        <v>327</v>
      </c>
      <c r="B11" s="54" t="s">
        <v>388</v>
      </c>
      <c r="C11" s="56" t="s">
        <v>2</v>
      </c>
      <c r="D11" s="21"/>
      <c r="F11">
        <v>0</v>
      </c>
      <c r="G11">
        <v>5</v>
      </c>
    </row>
    <row r="12" spans="1:7" x14ac:dyDescent="0.3">
      <c r="A12" s="62" t="s">
        <v>328</v>
      </c>
      <c r="B12" s="54" t="s">
        <v>393</v>
      </c>
      <c r="C12" s="56" t="s">
        <v>1</v>
      </c>
      <c r="D12" s="21"/>
      <c r="F12">
        <v>5</v>
      </c>
      <c r="G12">
        <v>5</v>
      </c>
    </row>
    <row r="13" spans="1:7" x14ac:dyDescent="0.3">
      <c r="A13" s="62" t="s">
        <v>329</v>
      </c>
      <c r="B13" s="54" t="s">
        <v>285</v>
      </c>
      <c r="C13" s="56" t="s">
        <v>1</v>
      </c>
      <c r="D13" s="21"/>
      <c r="F13">
        <v>5</v>
      </c>
      <c r="G13">
        <v>5</v>
      </c>
    </row>
    <row r="14" spans="1:7" x14ac:dyDescent="0.3">
      <c r="A14" s="66" t="s">
        <v>146</v>
      </c>
      <c r="B14" s="54"/>
      <c r="C14" s="59"/>
      <c r="D14" s="8"/>
    </row>
    <row r="15" spans="1:7" x14ac:dyDescent="0.3">
      <c r="A15" s="66" t="s">
        <v>330</v>
      </c>
      <c r="B15" s="54" t="s">
        <v>288</v>
      </c>
      <c r="C15" s="56" t="s">
        <v>1</v>
      </c>
      <c r="D15" s="21"/>
      <c r="F15">
        <v>5</v>
      </c>
      <c r="G15">
        <v>5</v>
      </c>
    </row>
    <row r="16" spans="1:7" x14ac:dyDescent="0.3">
      <c r="A16" s="62" t="s">
        <v>331</v>
      </c>
      <c r="B16" s="54" t="s">
        <v>290</v>
      </c>
      <c r="C16" s="56" t="s">
        <v>1</v>
      </c>
      <c r="D16" s="21"/>
      <c r="F16">
        <v>5</v>
      </c>
      <c r="G16">
        <v>5</v>
      </c>
    </row>
    <row r="17" spans="1:7" x14ac:dyDescent="0.3">
      <c r="A17" s="62" t="s">
        <v>332</v>
      </c>
      <c r="B17" s="54" t="s">
        <v>164</v>
      </c>
      <c r="C17" s="56" t="s">
        <v>234</v>
      </c>
      <c r="D17" s="21"/>
      <c r="F17">
        <v>1</v>
      </c>
      <c r="G17">
        <v>5</v>
      </c>
    </row>
    <row r="18" spans="1:7" x14ac:dyDescent="0.3">
      <c r="A18" s="62" t="s">
        <v>333</v>
      </c>
      <c r="B18" s="54" t="s">
        <v>165</v>
      </c>
      <c r="C18" s="56" t="s">
        <v>150</v>
      </c>
      <c r="D18" s="21"/>
      <c r="F18">
        <v>2</v>
      </c>
      <c r="G18">
        <v>5</v>
      </c>
    </row>
    <row r="19" spans="1:7" x14ac:dyDescent="0.3">
      <c r="A19" s="62" t="s">
        <v>334</v>
      </c>
      <c r="B19" s="54" t="s">
        <v>166</v>
      </c>
      <c r="C19" s="56" t="s">
        <v>1</v>
      </c>
      <c r="D19" s="21"/>
      <c r="F19">
        <v>5</v>
      </c>
      <c r="G19">
        <v>5</v>
      </c>
    </row>
    <row r="20" spans="1:7" ht="28.8" x14ac:dyDescent="0.3">
      <c r="A20" s="62" t="s">
        <v>362</v>
      </c>
      <c r="B20" s="54" t="s">
        <v>286</v>
      </c>
      <c r="C20" s="56" t="s">
        <v>391</v>
      </c>
      <c r="D20" s="21"/>
      <c r="F20">
        <v>4</v>
      </c>
      <c r="G20">
        <v>5</v>
      </c>
    </row>
    <row r="21" spans="1:7" x14ac:dyDescent="0.3">
      <c r="A21" s="62" t="s">
        <v>363</v>
      </c>
      <c r="B21" s="54" t="s">
        <v>392</v>
      </c>
      <c r="C21" s="56" t="s">
        <v>1</v>
      </c>
      <c r="D21" s="21"/>
      <c r="F21">
        <v>5</v>
      </c>
      <c r="G21">
        <v>5</v>
      </c>
    </row>
    <row r="22" spans="1:7" ht="28.8" x14ac:dyDescent="0.3">
      <c r="A22" s="62" t="s">
        <v>364</v>
      </c>
      <c r="B22" s="54" t="s">
        <v>160</v>
      </c>
      <c r="C22" s="56" t="s">
        <v>14</v>
      </c>
      <c r="D22" s="21"/>
      <c r="F22">
        <v>0</v>
      </c>
      <c r="G22">
        <v>0</v>
      </c>
    </row>
    <row r="23" spans="1:7" x14ac:dyDescent="0.3">
      <c r="A23" s="62" t="s">
        <v>365</v>
      </c>
      <c r="B23" s="54" t="s">
        <v>389</v>
      </c>
      <c r="C23" s="56" t="s">
        <v>1</v>
      </c>
      <c r="D23" s="21"/>
      <c r="F23">
        <v>5</v>
      </c>
      <c r="G23">
        <v>5</v>
      </c>
    </row>
    <row r="24" spans="1:7" x14ac:dyDescent="0.3">
      <c r="A24" s="62" t="s">
        <v>366</v>
      </c>
      <c r="B24" s="54" t="s">
        <v>394</v>
      </c>
      <c r="C24" s="56" t="s">
        <v>1</v>
      </c>
      <c r="D24" s="21"/>
      <c r="F24">
        <v>5</v>
      </c>
      <c r="G24">
        <v>5</v>
      </c>
    </row>
    <row r="25" spans="1:7" x14ac:dyDescent="0.3">
      <c r="A25" s="62" t="s">
        <v>367</v>
      </c>
      <c r="B25" s="54" t="s">
        <v>287</v>
      </c>
      <c r="C25" s="56" t="s">
        <v>1</v>
      </c>
      <c r="D25" s="21"/>
      <c r="F25">
        <v>5</v>
      </c>
      <c r="G25">
        <v>5</v>
      </c>
    </row>
    <row r="26" spans="1:7" x14ac:dyDescent="0.3">
      <c r="A26" s="66" t="s">
        <v>147</v>
      </c>
      <c r="B26" s="54"/>
      <c r="C26" s="59"/>
      <c r="D26" s="8"/>
    </row>
    <row r="27" spans="1:7" x14ac:dyDescent="0.3">
      <c r="A27" s="66" t="s">
        <v>368</v>
      </c>
      <c r="B27" s="54" t="s">
        <v>395</v>
      </c>
      <c r="C27" s="56" t="s">
        <v>2</v>
      </c>
      <c r="D27" s="21"/>
      <c r="F27">
        <v>0</v>
      </c>
      <c r="G27">
        <v>5</v>
      </c>
    </row>
    <row r="28" spans="1:7" x14ac:dyDescent="0.3">
      <c r="A28" s="62" t="s">
        <v>369</v>
      </c>
      <c r="B28" s="54" t="s">
        <v>452</v>
      </c>
      <c r="C28" s="56" t="s">
        <v>236</v>
      </c>
      <c r="D28" s="21"/>
      <c r="F28">
        <v>3</v>
      </c>
      <c r="G28">
        <v>5</v>
      </c>
    </row>
    <row r="29" spans="1:7" x14ac:dyDescent="0.3">
      <c r="A29" s="62" t="s">
        <v>370</v>
      </c>
      <c r="B29" s="54" t="s">
        <v>453</v>
      </c>
      <c r="C29" s="56" t="s">
        <v>150</v>
      </c>
      <c r="D29" s="21"/>
      <c r="F29">
        <v>2</v>
      </c>
      <c r="G29">
        <v>5</v>
      </c>
    </row>
    <row r="30" spans="1:7" x14ac:dyDescent="0.3">
      <c r="A30" s="62" t="s">
        <v>371</v>
      </c>
      <c r="B30" s="54" t="s">
        <v>454</v>
      </c>
      <c r="C30" s="56" t="s">
        <v>1</v>
      </c>
      <c r="D30" s="21"/>
      <c r="F30">
        <v>5</v>
      </c>
      <c r="G30">
        <v>5</v>
      </c>
    </row>
    <row r="31" spans="1:7" ht="28.8" x14ac:dyDescent="0.3">
      <c r="A31" s="62" t="s">
        <v>372</v>
      </c>
      <c r="B31" s="54" t="s">
        <v>455</v>
      </c>
      <c r="C31" s="56" t="s">
        <v>391</v>
      </c>
      <c r="D31" s="21"/>
      <c r="F31">
        <v>4</v>
      </c>
      <c r="G31">
        <v>5</v>
      </c>
    </row>
    <row r="32" spans="1:7" x14ac:dyDescent="0.3">
      <c r="A32" s="62" t="s">
        <v>373</v>
      </c>
      <c r="B32" s="54" t="s">
        <v>456</v>
      </c>
      <c r="C32" s="56" t="s">
        <v>1</v>
      </c>
      <c r="D32" s="21"/>
      <c r="F32">
        <v>5</v>
      </c>
      <c r="G32">
        <v>5</v>
      </c>
    </row>
    <row r="33" spans="1:7" ht="28.8" x14ac:dyDescent="0.3">
      <c r="A33" s="62" t="s">
        <v>374</v>
      </c>
      <c r="B33" s="54" t="s">
        <v>457</v>
      </c>
      <c r="C33" s="56" t="s">
        <v>14</v>
      </c>
      <c r="D33" s="21"/>
      <c r="F33">
        <v>0</v>
      </c>
      <c r="G33">
        <v>0</v>
      </c>
    </row>
    <row r="34" spans="1:7" x14ac:dyDescent="0.3">
      <c r="A34" s="62" t="s">
        <v>375</v>
      </c>
      <c r="B34" s="54" t="s">
        <v>458</v>
      </c>
      <c r="C34" s="56" t="s">
        <v>1</v>
      </c>
      <c r="D34" s="21"/>
      <c r="F34">
        <v>5</v>
      </c>
      <c r="G34">
        <v>5</v>
      </c>
    </row>
    <row r="35" spans="1:7" x14ac:dyDescent="0.3">
      <c r="A35" s="62" t="s">
        <v>376</v>
      </c>
      <c r="B35" s="54" t="s">
        <v>459</v>
      </c>
      <c r="C35" s="56" t="s">
        <v>1</v>
      </c>
      <c r="D35" s="21"/>
      <c r="F35">
        <v>5</v>
      </c>
      <c r="G35">
        <v>5</v>
      </c>
    </row>
    <row r="36" spans="1:7" x14ac:dyDescent="0.3">
      <c r="A36" s="62" t="s">
        <v>377</v>
      </c>
      <c r="B36" s="54" t="s">
        <v>460</v>
      </c>
      <c r="C36" s="56" t="s">
        <v>1</v>
      </c>
      <c r="D36" s="21"/>
      <c r="F36">
        <v>5</v>
      </c>
      <c r="G36">
        <v>5</v>
      </c>
    </row>
    <row r="37" spans="1:7" x14ac:dyDescent="0.3">
      <c r="A37" s="66" t="s">
        <v>67</v>
      </c>
      <c r="B37" s="54"/>
      <c r="C37" s="59"/>
      <c r="D37" s="8"/>
    </row>
    <row r="38" spans="1:7" x14ac:dyDescent="0.3">
      <c r="A38" s="62" t="s">
        <v>378</v>
      </c>
      <c r="B38" s="54" t="s">
        <v>168</v>
      </c>
      <c r="C38" s="56" t="s">
        <v>469</v>
      </c>
      <c r="D38" s="24"/>
      <c r="F38">
        <v>2</v>
      </c>
      <c r="G38">
        <v>5</v>
      </c>
    </row>
    <row r="39" spans="1:7" x14ac:dyDescent="0.3">
      <c r="A39" s="62" t="s">
        <v>379</v>
      </c>
      <c r="B39" s="54" t="s">
        <v>291</v>
      </c>
      <c r="C39" s="56" t="s">
        <v>1</v>
      </c>
      <c r="D39" s="24"/>
      <c r="F39">
        <v>5</v>
      </c>
      <c r="G39">
        <v>5</v>
      </c>
    </row>
    <row r="40" spans="1:7" x14ac:dyDescent="0.3">
      <c r="A40" s="62" t="s">
        <v>380</v>
      </c>
      <c r="B40" s="54" t="s">
        <v>292</v>
      </c>
      <c r="C40" s="56" t="s">
        <v>2</v>
      </c>
      <c r="D40" s="24"/>
      <c r="F40">
        <v>0</v>
      </c>
      <c r="G40">
        <v>5</v>
      </c>
    </row>
    <row r="41" spans="1:7" x14ac:dyDescent="0.3">
      <c r="A41" s="62" t="s">
        <v>381</v>
      </c>
      <c r="B41" s="54" t="s">
        <v>293</v>
      </c>
      <c r="C41" s="56" t="s">
        <v>2</v>
      </c>
      <c r="D41" s="24"/>
      <c r="F41">
        <v>5</v>
      </c>
      <c r="G41">
        <v>5</v>
      </c>
    </row>
    <row r="42" spans="1:7" x14ac:dyDescent="0.3">
      <c r="A42" s="62" t="s">
        <v>382</v>
      </c>
      <c r="B42" s="54" t="s">
        <v>294</v>
      </c>
      <c r="C42" s="56" t="s">
        <v>2</v>
      </c>
      <c r="D42" s="24"/>
      <c r="F42">
        <v>0</v>
      </c>
      <c r="G42">
        <v>5</v>
      </c>
    </row>
    <row r="43" spans="1:7" x14ac:dyDescent="0.3">
      <c r="A43" s="62" t="s">
        <v>383</v>
      </c>
      <c r="B43" s="54" t="s">
        <v>295</v>
      </c>
      <c r="C43" s="56" t="s">
        <v>2</v>
      </c>
      <c r="D43" s="24"/>
      <c r="F43">
        <v>0</v>
      </c>
      <c r="G43">
        <v>5</v>
      </c>
    </row>
    <row r="44" spans="1:7" x14ac:dyDescent="0.3">
      <c r="A44" s="62" t="s">
        <v>384</v>
      </c>
      <c r="B44" s="54" t="s">
        <v>169</v>
      </c>
      <c r="C44" s="56" t="s">
        <v>13</v>
      </c>
      <c r="D44" s="24"/>
      <c r="F44">
        <v>2</v>
      </c>
      <c r="G44">
        <v>5</v>
      </c>
    </row>
    <row r="45" spans="1:7" x14ac:dyDescent="0.3">
      <c r="A45" s="62" t="s">
        <v>385</v>
      </c>
      <c r="B45" s="54" t="s">
        <v>397</v>
      </c>
      <c r="C45" s="56" t="s">
        <v>1</v>
      </c>
      <c r="D45" s="24"/>
      <c r="F45">
        <v>5</v>
      </c>
      <c r="G45">
        <v>5</v>
      </c>
    </row>
    <row r="46" spans="1:7" x14ac:dyDescent="0.3">
      <c r="A46" s="62" t="s">
        <v>386</v>
      </c>
      <c r="B46" s="54" t="s">
        <v>173</v>
      </c>
      <c r="C46" s="56" t="s">
        <v>484</v>
      </c>
      <c r="D46" s="24"/>
      <c r="F46">
        <v>1</v>
      </c>
      <c r="G46">
        <v>5</v>
      </c>
    </row>
    <row r="47" spans="1:7" x14ac:dyDescent="0.3">
      <c r="A47" s="66" t="s">
        <v>148</v>
      </c>
      <c r="B47" s="54"/>
      <c r="C47" s="59"/>
      <c r="D47" s="8"/>
    </row>
    <row r="48" spans="1:7" ht="43.2" x14ac:dyDescent="0.3">
      <c r="A48" s="62" t="s">
        <v>483</v>
      </c>
      <c r="B48" s="54" t="s">
        <v>396</v>
      </c>
      <c r="C48" s="56" t="s">
        <v>171</v>
      </c>
      <c r="D48" s="24"/>
      <c r="F48">
        <v>3</v>
      </c>
      <c r="G48">
        <v>5</v>
      </c>
    </row>
    <row r="50" spans="3:7" x14ac:dyDescent="0.3">
      <c r="C50" s="74">
        <f>F51</f>
        <v>63</v>
      </c>
      <c r="F50">
        <f>SUM(F3:F48)</f>
        <v>126</v>
      </c>
      <c r="G50">
        <f>SUM(G3:G48)</f>
        <v>200</v>
      </c>
    </row>
    <row r="51" spans="3:7" x14ac:dyDescent="0.3">
      <c r="C51" s="74"/>
      <c r="F51">
        <f>(F50*G51)/G50</f>
        <v>63</v>
      </c>
      <c r="G51">
        <v>100</v>
      </c>
    </row>
  </sheetData>
  <mergeCells count="1">
    <mergeCell ref="C50:C51"/>
  </mergeCells>
  <pageMargins left="0.7" right="0.7" top="0.75" bottom="0.75" header="0.3" footer="0.3"/>
  <pageSetup orientation="portrait" r:id="rId1"/>
  <drawing r:id="rId2"/>
  <legacyDrawing r:id="rId3"/>
  <controls>
    <mc:AlternateContent xmlns:mc="http://schemas.openxmlformats.org/markup-compatibility/2006">
      <mc:Choice Requires="x14">
        <control shapeId="39945" r:id="rId4" name="btnTesting_Calculate">
          <controlPr defaultSize="0" autoLine="0" r:id="rId5">
            <anchor moveWithCells="1">
              <from>
                <xdr:col>1</xdr:col>
                <xdr:colOff>3832860</xdr:colOff>
                <xdr:row>48</xdr:row>
                <xdr:rowOff>175260</xdr:rowOff>
              </from>
              <to>
                <xdr:col>1</xdr:col>
                <xdr:colOff>5341620</xdr:colOff>
                <xdr:row>51</xdr:row>
                <xdr:rowOff>0</xdr:rowOff>
              </to>
            </anchor>
          </controlPr>
        </control>
      </mc:Choice>
      <mc:Fallback>
        <control shapeId="39945" r:id="rId4" name="btnTesting_Calculate"/>
      </mc:Fallback>
    </mc:AlternateContent>
  </controls>
  <extLst>
    <ext xmlns:x14="http://schemas.microsoft.com/office/spreadsheetml/2009/9/main" uri="{CCE6A557-97BC-4b89-ADB6-D9C93CAAB3DF}">
      <x14:dataValidations xmlns:xm="http://schemas.microsoft.com/office/excel/2006/main" count="17">
        <x14:dataValidation type="list" allowBlank="1">
          <x14:formula1>
            <xm:f>DataNew!$E$55:$E$60</xm:f>
          </x14:formula1>
          <xm:sqref>C17</xm:sqref>
        </x14:dataValidation>
        <x14:dataValidation type="list" allowBlank="1">
          <x14:formula1>
            <xm:f>DataNew!$E$55:$E$60</xm:f>
          </x14:formula1>
          <xm:sqref>C28</xm:sqref>
        </x14:dataValidation>
        <x14:dataValidation type="list" allowBlank="1" showInputMessage="1" showErrorMessage="1">
          <x14:formula1>
            <xm:f>DataNew!$H$55:$H$59</xm:f>
          </x14:formula1>
          <xm:sqref>C18</xm:sqref>
        </x14:dataValidation>
        <x14:dataValidation type="list" allowBlank="1" showInputMessage="1" showErrorMessage="1">
          <x14:formula1>
            <xm:f>DataNew!$H$55:$H$59</xm:f>
          </x14:formula1>
          <xm:sqref>C29</xm:sqref>
        </x14:dataValidation>
        <x14:dataValidation type="list" allowBlank="1" showInputMessage="1" showErrorMessage="1">
          <x14:formula1>
            <xm:f>DataNew!$K$55:$K$62</xm:f>
          </x14:formula1>
          <xm:sqref>C20</xm:sqref>
        </x14:dataValidation>
        <x14:dataValidation type="list" allowBlank="1" showInputMessage="1" showErrorMessage="1">
          <x14:formula1>
            <xm:f>DataNew!$K$55:$K$62</xm:f>
          </x14:formula1>
          <xm:sqref>C31</xm:sqref>
        </x14:dataValidation>
        <x14:dataValidation type="list" allowBlank="1" showInputMessage="1" showErrorMessage="1">
          <x14:formula1>
            <xm:f>DataNew!$B$55:$B$56</xm:f>
          </x14:formula1>
          <xm:sqref>C3:C4 C7 C9 C11:C13 C15:C16 C19 C21 C23:C25 C27 C30 C32 C34:C36 C39:C43 C45</xm:sqref>
        </x14:dataValidation>
        <x14:dataValidation type="list" allowBlank="1">
          <x14:formula1>
            <xm:f>DataNew!$E$55:$E$60</xm:f>
          </x14:formula1>
          <xm:sqref>C5</xm:sqref>
        </x14:dataValidation>
        <x14:dataValidation type="list" allowBlank="1" showInputMessage="1" showErrorMessage="1">
          <x14:formula1>
            <xm:f>DataNew!$H$55:$H$59</xm:f>
          </x14:formula1>
          <xm:sqref>C6</xm:sqref>
        </x14:dataValidation>
        <x14:dataValidation type="list" allowBlank="1" showInputMessage="1" showErrorMessage="1">
          <x14:formula1>
            <xm:f>DataNew!$K$55:$K$62</xm:f>
          </x14:formula1>
          <xm:sqref>C8</xm:sqref>
        </x14:dataValidation>
        <x14:dataValidation type="list" allowBlank="1" showInputMessage="1" showErrorMessage="1">
          <x14:formula1>
            <xm:f>DataNew!$Q$55:$Q$57</xm:f>
          </x14:formula1>
          <xm:sqref>C38</xm:sqref>
        </x14:dataValidation>
        <x14:dataValidation type="list" allowBlank="1" showInputMessage="1" showErrorMessage="1">
          <x14:formula1>
            <xm:f>DataNew!$T$55:$T$57</xm:f>
          </x14:formula1>
          <xm:sqref>C44</xm:sqref>
        </x14:dataValidation>
        <x14:dataValidation type="list" allowBlank="1" showInputMessage="1" showErrorMessage="1">
          <x14:formula1>
            <xm:f>DataNew!$W$55:$W$62</xm:f>
          </x14:formula1>
          <xm:sqref>C46</xm:sqref>
        </x14:dataValidation>
        <x14:dataValidation type="list" allowBlank="1" showInputMessage="1" showErrorMessage="1">
          <x14:formula1>
            <xm:f>DataNew!$Z$55:$Z$59</xm:f>
          </x14:formula1>
          <xm:sqref>C48</xm:sqref>
        </x14:dataValidation>
        <x14:dataValidation type="list" allowBlank="1" showInputMessage="1" showErrorMessage="1">
          <x14:formula1>
            <xm:f>DataNew!$N$55:$N$59</xm:f>
          </x14:formula1>
          <xm:sqref>C22</xm:sqref>
        </x14:dataValidation>
        <x14:dataValidation type="list" allowBlank="1" showInputMessage="1" showErrorMessage="1">
          <x14:formula1>
            <xm:f>DataNew!$N$55:$N$59</xm:f>
          </x14:formula1>
          <xm:sqref>C33</xm:sqref>
        </x14:dataValidation>
        <x14:dataValidation type="list" allowBlank="1" showInputMessage="1" showErrorMessage="1">
          <x14:formula1>
            <xm:f>DataNew!$N$55:$N$59</xm:f>
          </x14:formula1>
          <xm:sqref>C10</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UserAcceptanceTesting"/>
  <dimension ref="A1:G9"/>
  <sheetViews>
    <sheetView workbookViewId="0">
      <selection activeCell="C19" sqref="C19"/>
    </sheetView>
  </sheetViews>
  <sheetFormatPr defaultRowHeight="14.4" x14ac:dyDescent="0.3"/>
  <cols>
    <col min="2" max="2" width="41.33203125" style="1" bestFit="1" customWidth="1"/>
    <col min="3" max="3" width="24.88671875" style="1" customWidth="1"/>
    <col min="4" max="4" width="44.77734375" style="30" customWidth="1"/>
    <col min="6" max="7" width="0" hidden="1" customWidth="1"/>
  </cols>
  <sheetData>
    <row r="1" spans="1:7" x14ac:dyDescent="0.3">
      <c r="D1" s="26" t="s">
        <v>116</v>
      </c>
      <c r="F1" s="4" t="s">
        <v>317</v>
      </c>
      <c r="G1" s="4" t="s">
        <v>318</v>
      </c>
    </row>
    <row r="2" spans="1:7" x14ac:dyDescent="0.3">
      <c r="A2" s="34" t="s">
        <v>319</v>
      </c>
      <c r="B2" s="13" t="s">
        <v>189</v>
      </c>
      <c r="C2" s="14" t="s">
        <v>36</v>
      </c>
      <c r="D2" s="52"/>
      <c r="F2">
        <v>2</v>
      </c>
      <c r="G2">
        <v>5</v>
      </c>
    </row>
    <row r="3" spans="1:7" ht="28.8" x14ac:dyDescent="0.3">
      <c r="A3" s="34" t="s">
        <v>320</v>
      </c>
      <c r="B3" s="38" t="s">
        <v>296</v>
      </c>
      <c r="C3" s="14" t="s">
        <v>298</v>
      </c>
      <c r="D3" s="52"/>
      <c r="F3">
        <v>0</v>
      </c>
      <c r="G3">
        <v>5</v>
      </c>
    </row>
    <row r="4" spans="1:7" ht="28.8" x14ac:dyDescent="0.3">
      <c r="A4" s="34" t="s">
        <v>321</v>
      </c>
      <c r="B4" s="13" t="s">
        <v>188</v>
      </c>
      <c r="C4" s="14" t="s">
        <v>300</v>
      </c>
      <c r="D4" s="52"/>
      <c r="F4">
        <v>5</v>
      </c>
      <c r="G4">
        <v>5</v>
      </c>
    </row>
    <row r="5" spans="1:7" x14ac:dyDescent="0.3">
      <c r="A5" s="63" t="s">
        <v>322</v>
      </c>
      <c r="B5" s="13" t="s">
        <v>187</v>
      </c>
      <c r="C5" s="14" t="s">
        <v>13</v>
      </c>
      <c r="D5" s="52"/>
      <c r="F5">
        <v>5</v>
      </c>
      <c r="G5">
        <v>5</v>
      </c>
    </row>
    <row r="6" spans="1:7" ht="28.8" x14ac:dyDescent="0.3">
      <c r="A6" s="63" t="s">
        <v>323</v>
      </c>
      <c r="B6" s="13" t="s">
        <v>398</v>
      </c>
      <c r="C6" s="14" t="s">
        <v>2</v>
      </c>
      <c r="D6" s="52"/>
      <c r="F6">
        <v>5</v>
      </c>
      <c r="G6">
        <v>5</v>
      </c>
    </row>
    <row r="8" spans="1:7" x14ac:dyDescent="0.3">
      <c r="C8" s="74">
        <f>F9</f>
        <v>68</v>
      </c>
      <c r="F8">
        <f>SUM(F2:F6)</f>
        <v>17</v>
      </c>
      <c r="G8">
        <f>SUM(G2:G6)</f>
        <v>25</v>
      </c>
    </row>
    <row r="9" spans="1:7" x14ac:dyDescent="0.3">
      <c r="C9" s="74"/>
      <c r="F9">
        <f>(F8*G9)/G8</f>
        <v>68</v>
      </c>
      <c r="G9">
        <v>100</v>
      </c>
    </row>
  </sheetData>
  <mergeCells count="1">
    <mergeCell ref="C8:C9"/>
  </mergeCells>
  <pageMargins left="0.7" right="0.7" top="0.75" bottom="0.75" header="0.3" footer="0.3"/>
  <pageSetup orientation="portrait" r:id="rId1"/>
  <drawing r:id="rId2"/>
  <legacyDrawing r:id="rId3"/>
  <controls>
    <mc:AlternateContent xmlns:mc="http://schemas.openxmlformats.org/markup-compatibility/2006">
      <mc:Choice Requires="x14">
        <control shapeId="40964" r:id="rId4" name="CommandButton1">
          <controlPr defaultSize="0" autoLine="0" r:id="rId5">
            <anchor moveWithCells="1">
              <from>
                <xdr:col>1</xdr:col>
                <xdr:colOff>1318260</xdr:colOff>
                <xdr:row>7</xdr:row>
                <xdr:rowOff>7620</xdr:rowOff>
              </from>
              <to>
                <xdr:col>1</xdr:col>
                <xdr:colOff>2827020</xdr:colOff>
                <xdr:row>9</xdr:row>
                <xdr:rowOff>15240</xdr:rowOff>
              </to>
            </anchor>
          </controlPr>
        </control>
      </mc:Choice>
      <mc:Fallback>
        <control shapeId="40964" r:id="rId4" name="CommandButton1"/>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DataNew!$B$65:$B$75</xm:f>
          </x14:formula1>
          <xm:sqref>C2</xm:sqref>
        </x14:dataValidation>
        <x14:dataValidation type="list" allowBlank="1" showInputMessage="1" showErrorMessage="1">
          <x14:formula1>
            <xm:f>DataNew!$E$65:$E$68</xm:f>
          </x14:formula1>
          <xm:sqref>C3</xm:sqref>
        </x14:dataValidation>
        <x14:dataValidation type="list" allowBlank="1" showInputMessage="1" showErrorMessage="1">
          <x14:formula1>
            <xm:f>DataNew!$H$65:$H$67</xm:f>
          </x14:formula1>
          <xm:sqref>C4</xm:sqref>
        </x14:dataValidation>
        <x14:dataValidation type="list" allowBlank="1" showInputMessage="1" showErrorMessage="1">
          <x14:formula1>
            <xm:f>DataNew!$K$65:$K$67</xm:f>
          </x14:formula1>
          <xm:sqref>C5</xm:sqref>
        </x14:dataValidation>
        <x14:dataValidation type="list" allowBlank="1" showInputMessage="1" showErrorMessage="1">
          <x14:formula1>
            <xm:f>DataNew!$N$65:$N$66</xm:f>
          </x14:formula1>
          <xm:sqref>C6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eploy"/>
  <dimension ref="A1:I56"/>
  <sheetViews>
    <sheetView workbookViewId="0">
      <selection activeCell="A44" sqref="A44:XFD47"/>
    </sheetView>
  </sheetViews>
  <sheetFormatPr defaultRowHeight="14.4" x14ac:dyDescent="0.3"/>
  <cols>
    <col min="1" max="1" width="8.88671875" style="64"/>
    <col min="2" max="2" width="76.5546875" style="1" customWidth="1"/>
    <col min="3" max="3" width="8.88671875" style="1"/>
    <col min="4" max="4" width="26.109375" style="1" customWidth="1"/>
    <col min="5" max="5" width="23.5546875" style="1" customWidth="1"/>
    <col min="6" max="6" width="18.6640625" style="1" customWidth="1"/>
    <col min="7" max="7" width="8.88671875" style="1"/>
    <col min="8" max="9" width="8.88671875" style="1" customWidth="1"/>
    <col min="10" max="16384" width="8.88671875" style="1"/>
  </cols>
  <sheetData>
    <row r="1" spans="1:9" x14ac:dyDescent="0.3">
      <c r="E1" s="82" t="s">
        <v>116</v>
      </c>
      <c r="F1" s="82"/>
      <c r="H1" s="4" t="s">
        <v>317</v>
      </c>
      <c r="I1" s="4" t="s">
        <v>318</v>
      </c>
    </row>
    <row r="2" spans="1:9" x14ac:dyDescent="0.3">
      <c r="A2" s="65" t="s">
        <v>319</v>
      </c>
      <c r="B2" s="81" t="s">
        <v>498</v>
      </c>
      <c r="C2" s="81"/>
      <c r="D2" s="14" t="s">
        <v>1</v>
      </c>
      <c r="E2" s="79"/>
      <c r="F2" s="80"/>
      <c r="H2" s="1">
        <v>5</v>
      </c>
      <c r="I2" s="1">
        <v>5</v>
      </c>
    </row>
    <row r="3" spans="1:9" x14ac:dyDescent="0.3">
      <c r="A3" s="65" t="s">
        <v>320</v>
      </c>
      <c r="B3" s="81" t="s">
        <v>499</v>
      </c>
      <c r="C3" s="81"/>
      <c r="D3" s="14" t="s">
        <v>2</v>
      </c>
      <c r="E3" s="79"/>
      <c r="F3" s="80"/>
      <c r="H3" s="1">
        <v>0</v>
      </c>
      <c r="I3" s="1">
        <v>5</v>
      </c>
    </row>
    <row r="4" spans="1:9" x14ac:dyDescent="0.3">
      <c r="A4" s="65" t="s">
        <v>321</v>
      </c>
      <c r="B4" s="81" t="s">
        <v>443</v>
      </c>
      <c r="C4" s="81"/>
      <c r="D4" s="14" t="s">
        <v>1</v>
      </c>
      <c r="E4" s="79"/>
      <c r="F4" s="80"/>
      <c r="H4" s="1">
        <v>5</v>
      </c>
      <c r="I4" s="1">
        <v>5</v>
      </c>
    </row>
    <row r="5" spans="1:9" x14ac:dyDescent="0.3">
      <c r="A5" s="65" t="s">
        <v>322</v>
      </c>
      <c r="B5" s="81" t="s">
        <v>444</v>
      </c>
      <c r="C5" s="81"/>
      <c r="D5" s="14" t="s">
        <v>21</v>
      </c>
      <c r="E5" s="79"/>
      <c r="F5" s="80"/>
      <c r="H5" s="1">
        <v>3</v>
      </c>
      <c r="I5" s="1">
        <v>5</v>
      </c>
    </row>
    <row r="6" spans="1:9" x14ac:dyDescent="0.3">
      <c r="A6" s="65"/>
      <c r="B6" s="81" t="s">
        <v>445</v>
      </c>
      <c r="C6" s="15" t="s">
        <v>24</v>
      </c>
      <c r="D6" s="15" t="s">
        <v>29</v>
      </c>
      <c r="E6" s="13"/>
      <c r="F6" s="13"/>
    </row>
    <row r="7" spans="1:9" x14ac:dyDescent="0.3">
      <c r="A7" s="65" t="s">
        <v>399</v>
      </c>
      <c r="B7" s="81"/>
      <c r="C7" s="13" t="s">
        <v>25</v>
      </c>
      <c r="D7" s="16">
        <v>3</v>
      </c>
      <c r="E7" s="79"/>
      <c r="F7" s="80"/>
      <c r="H7" s="1">
        <v>4</v>
      </c>
      <c r="I7" s="1">
        <v>5</v>
      </c>
    </row>
    <row r="8" spans="1:9" x14ac:dyDescent="0.3">
      <c r="A8" s="65" t="s">
        <v>400</v>
      </c>
      <c r="B8" s="81"/>
      <c r="C8" s="13" t="s">
        <v>26</v>
      </c>
      <c r="D8" s="16">
        <v>10</v>
      </c>
      <c r="E8" s="79"/>
      <c r="F8" s="80"/>
      <c r="H8" s="1">
        <v>0</v>
      </c>
      <c r="I8" s="1">
        <v>5</v>
      </c>
    </row>
    <row r="9" spans="1:9" x14ac:dyDescent="0.3">
      <c r="A9" s="65" t="s">
        <v>401</v>
      </c>
      <c r="B9" s="81"/>
      <c r="C9" s="13" t="s">
        <v>27</v>
      </c>
      <c r="D9" s="16">
        <v>9</v>
      </c>
      <c r="E9" s="79"/>
      <c r="F9" s="80"/>
      <c r="H9" s="1">
        <v>2</v>
      </c>
      <c r="I9" s="1">
        <v>5</v>
      </c>
    </row>
    <row r="10" spans="1:9" x14ac:dyDescent="0.3">
      <c r="A10" s="65" t="s">
        <v>402</v>
      </c>
      <c r="B10" s="81"/>
      <c r="C10" s="13" t="s">
        <v>28</v>
      </c>
      <c r="D10" s="16"/>
      <c r="E10" s="79"/>
      <c r="F10" s="80"/>
      <c r="H10" s="1">
        <v>0</v>
      </c>
      <c r="I10" s="1">
        <v>0</v>
      </c>
    </row>
    <row r="11" spans="1:9" ht="28.8" hidden="1" x14ac:dyDescent="0.3">
      <c r="A11" s="65" t="s">
        <v>324</v>
      </c>
      <c r="B11" s="81" t="s">
        <v>178</v>
      </c>
      <c r="C11" s="81"/>
      <c r="D11" s="14" t="s">
        <v>179</v>
      </c>
      <c r="E11" s="79"/>
      <c r="F11" s="80"/>
      <c r="H11" s="1">
        <v>0</v>
      </c>
      <c r="I11" s="1">
        <v>0</v>
      </c>
    </row>
    <row r="12" spans="1:9" ht="28.8" hidden="1" x14ac:dyDescent="0.3">
      <c r="A12" s="65" t="s">
        <v>325</v>
      </c>
      <c r="B12" s="81" t="s">
        <v>446</v>
      </c>
      <c r="C12" s="81"/>
      <c r="D12" s="14" t="s">
        <v>179</v>
      </c>
      <c r="E12" s="79"/>
      <c r="F12" s="80"/>
      <c r="H12" s="1">
        <v>0</v>
      </c>
      <c r="I12" s="1">
        <v>0</v>
      </c>
    </row>
    <row r="13" spans="1:9" ht="28.8" hidden="1" x14ac:dyDescent="0.3">
      <c r="A13" s="65" t="s">
        <v>326</v>
      </c>
      <c r="B13" s="81" t="s">
        <v>447</v>
      </c>
      <c r="C13" s="81"/>
      <c r="D13" s="14" t="s">
        <v>179</v>
      </c>
      <c r="E13" s="79"/>
      <c r="F13" s="80"/>
      <c r="H13" s="1">
        <v>0</v>
      </c>
      <c r="I13" s="1">
        <v>0</v>
      </c>
    </row>
    <row r="14" spans="1:9" x14ac:dyDescent="0.3">
      <c r="A14" s="65"/>
      <c r="B14" s="81" t="s">
        <v>441</v>
      </c>
      <c r="C14" s="15" t="s">
        <v>24</v>
      </c>
      <c r="D14" s="15" t="s">
        <v>301</v>
      </c>
      <c r="E14" s="60"/>
      <c r="F14" s="61"/>
    </row>
    <row r="15" spans="1:9" x14ac:dyDescent="0.3">
      <c r="A15" s="65" t="s">
        <v>403</v>
      </c>
      <c r="B15" s="81"/>
      <c r="C15" s="13" t="s">
        <v>25</v>
      </c>
      <c r="D15" s="14" t="s">
        <v>8</v>
      </c>
      <c r="E15" s="79"/>
      <c r="F15" s="80"/>
      <c r="H15" s="1">
        <v>5</v>
      </c>
      <c r="I15" s="1">
        <v>5</v>
      </c>
    </row>
    <row r="16" spans="1:9" x14ac:dyDescent="0.3">
      <c r="A16" s="65" t="s">
        <v>404</v>
      </c>
      <c r="B16" s="81"/>
      <c r="C16" s="13" t="s">
        <v>26</v>
      </c>
      <c r="D16" s="14" t="s">
        <v>21</v>
      </c>
      <c r="E16" s="79"/>
      <c r="F16" s="80"/>
      <c r="H16" s="1">
        <v>3</v>
      </c>
      <c r="I16" s="1">
        <v>5</v>
      </c>
    </row>
    <row r="17" spans="1:9" x14ac:dyDescent="0.3">
      <c r="A17" s="65" t="s">
        <v>405</v>
      </c>
      <c r="B17" s="81"/>
      <c r="C17" s="13" t="s">
        <v>27</v>
      </c>
      <c r="D17" s="14" t="s">
        <v>21</v>
      </c>
      <c r="E17" s="79"/>
      <c r="F17" s="80"/>
      <c r="H17" s="1">
        <v>3</v>
      </c>
      <c r="I17" s="1">
        <v>5</v>
      </c>
    </row>
    <row r="18" spans="1:9" x14ac:dyDescent="0.3">
      <c r="A18" s="65" t="s">
        <v>406</v>
      </c>
      <c r="B18" s="81"/>
      <c r="C18" s="13" t="s">
        <v>28</v>
      </c>
      <c r="D18" s="14" t="s">
        <v>23</v>
      </c>
      <c r="E18" s="79"/>
      <c r="F18" s="80"/>
      <c r="H18" s="1">
        <v>0</v>
      </c>
      <c r="I18" s="1">
        <v>5</v>
      </c>
    </row>
    <row r="19" spans="1:9" ht="28.8" x14ac:dyDescent="0.3">
      <c r="B19" s="81" t="s">
        <v>442</v>
      </c>
      <c r="C19" s="15" t="s">
        <v>24</v>
      </c>
      <c r="D19" s="15" t="s">
        <v>182</v>
      </c>
      <c r="E19" s="15" t="s">
        <v>181</v>
      </c>
      <c r="F19" s="13"/>
    </row>
    <row r="20" spans="1:9" x14ac:dyDescent="0.3">
      <c r="A20" s="64" t="s">
        <v>407</v>
      </c>
      <c r="B20" s="81"/>
      <c r="C20" s="13" t="s">
        <v>25</v>
      </c>
      <c r="D20" s="14" t="s">
        <v>180</v>
      </c>
      <c r="E20" s="14" t="s">
        <v>78</v>
      </c>
      <c r="F20" s="25"/>
      <c r="H20" s="1">
        <v>2</v>
      </c>
      <c r="I20" s="1">
        <v>5</v>
      </c>
    </row>
    <row r="21" spans="1:9" x14ac:dyDescent="0.3">
      <c r="A21" s="64" t="s">
        <v>408</v>
      </c>
      <c r="B21" s="81"/>
      <c r="C21" s="13" t="s">
        <v>26</v>
      </c>
      <c r="D21" s="14" t="s">
        <v>2</v>
      </c>
      <c r="E21" s="14" t="s">
        <v>77</v>
      </c>
      <c r="F21" s="25"/>
      <c r="H21" s="1">
        <v>0</v>
      </c>
      <c r="I21" s="1">
        <v>5</v>
      </c>
    </row>
    <row r="22" spans="1:9" x14ac:dyDescent="0.3">
      <c r="A22" s="64" t="s">
        <v>409</v>
      </c>
      <c r="B22" s="81"/>
      <c r="C22" s="13" t="s">
        <v>27</v>
      </c>
      <c r="D22" s="14" t="s">
        <v>180</v>
      </c>
      <c r="E22" s="14" t="s">
        <v>78</v>
      </c>
      <c r="F22" s="25"/>
      <c r="H22" s="1">
        <v>2</v>
      </c>
      <c r="I22" s="1">
        <v>5</v>
      </c>
    </row>
    <row r="23" spans="1:9" x14ac:dyDescent="0.3">
      <c r="A23" s="64" t="s">
        <v>410</v>
      </c>
      <c r="B23" s="81"/>
      <c r="C23" s="13" t="s">
        <v>28</v>
      </c>
      <c r="D23" s="14" t="s">
        <v>180</v>
      </c>
      <c r="E23" s="14" t="s">
        <v>79</v>
      </c>
      <c r="F23" s="25"/>
      <c r="H23" s="1">
        <v>1.2</v>
      </c>
      <c r="I23" s="1">
        <v>5</v>
      </c>
    </row>
    <row r="24" spans="1:9" x14ac:dyDescent="0.3">
      <c r="B24" s="81" t="s">
        <v>440</v>
      </c>
      <c r="C24" s="15" t="s">
        <v>24</v>
      </c>
      <c r="D24" s="15" t="s">
        <v>182</v>
      </c>
      <c r="E24" s="81"/>
      <c r="F24" s="81"/>
    </row>
    <row r="25" spans="1:9" x14ac:dyDescent="0.3">
      <c r="A25" s="64" t="s">
        <v>411</v>
      </c>
      <c r="B25" s="81"/>
      <c r="C25" s="13" t="s">
        <v>25</v>
      </c>
      <c r="D25" s="14" t="s">
        <v>180</v>
      </c>
      <c r="E25" s="83"/>
      <c r="F25" s="83"/>
      <c r="H25" s="1">
        <v>2</v>
      </c>
      <c r="I25" s="1">
        <v>5</v>
      </c>
    </row>
    <row r="26" spans="1:9" x14ac:dyDescent="0.3">
      <c r="A26" s="64" t="s">
        <v>412</v>
      </c>
      <c r="B26" s="81"/>
      <c r="C26" s="13" t="s">
        <v>26</v>
      </c>
      <c r="D26" s="14" t="s">
        <v>1</v>
      </c>
      <c r="E26" s="83"/>
      <c r="F26" s="83"/>
      <c r="H26" s="1">
        <v>5</v>
      </c>
      <c r="I26" s="1">
        <v>5</v>
      </c>
    </row>
    <row r="27" spans="1:9" x14ac:dyDescent="0.3">
      <c r="A27" s="64" t="s">
        <v>413</v>
      </c>
      <c r="B27" s="81"/>
      <c r="C27" s="13" t="s">
        <v>27</v>
      </c>
      <c r="D27" s="14" t="s">
        <v>2</v>
      </c>
      <c r="E27" s="83"/>
      <c r="F27" s="83"/>
      <c r="H27" s="1">
        <v>0</v>
      </c>
      <c r="I27" s="1">
        <v>5</v>
      </c>
    </row>
    <row r="28" spans="1:9" x14ac:dyDescent="0.3">
      <c r="A28" s="64" t="s">
        <v>414</v>
      </c>
      <c r="B28" s="81"/>
      <c r="C28" s="13" t="s">
        <v>28</v>
      </c>
      <c r="D28" s="14" t="s">
        <v>180</v>
      </c>
      <c r="E28" s="83"/>
      <c r="F28" s="83"/>
      <c r="H28" s="1">
        <v>2</v>
      </c>
      <c r="I28" s="1">
        <v>5</v>
      </c>
    </row>
    <row r="29" spans="1:9" ht="28.8" x14ac:dyDescent="0.3">
      <c r="B29" s="81" t="s">
        <v>439</v>
      </c>
      <c r="C29" s="15" t="s">
        <v>24</v>
      </c>
      <c r="D29" s="15" t="s">
        <v>182</v>
      </c>
      <c r="E29" s="15" t="s">
        <v>181</v>
      </c>
      <c r="F29" s="13"/>
    </row>
    <row r="30" spans="1:9" x14ac:dyDescent="0.3">
      <c r="A30" s="64" t="s">
        <v>415</v>
      </c>
      <c r="B30" s="81"/>
      <c r="C30" s="13" t="s">
        <v>25</v>
      </c>
      <c r="D30" s="14" t="s">
        <v>180</v>
      </c>
      <c r="E30" s="14" t="s">
        <v>79</v>
      </c>
      <c r="F30" s="25"/>
      <c r="H30" s="1">
        <v>1.2</v>
      </c>
      <c r="I30" s="1">
        <v>5</v>
      </c>
    </row>
    <row r="31" spans="1:9" x14ac:dyDescent="0.3">
      <c r="A31" s="64" t="s">
        <v>416</v>
      </c>
      <c r="B31" s="81"/>
      <c r="C31" s="13" t="s">
        <v>26</v>
      </c>
      <c r="D31" s="14" t="s">
        <v>180</v>
      </c>
      <c r="E31" s="14" t="s">
        <v>79</v>
      </c>
      <c r="F31" s="25"/>
      <c r="H31" s="1">
        <v>1.2</v>
      </c>
      <c r="I31" s="1">
        <v>5</v>
      </c>
    </row>
    <row r="32" spans="1:9" x14ac:dyDescent="0.3">
      <c r="A32" s="64" t="s">
        <v>417</v>
      </c>
      <c r="B32" s="81"/>
      <c r="C32" s="13" t="s">
        <v>27</v>
      </c>
      <c r="D32" s="14" t="s">
        <v>180</v>
      </c>
      <c r="E32" s="14" t="s">
        <v>79</v>
      </c>
      <c r="F32" s="25"/>
      <c r="H32" s="1">
        <v>1.2</v>
      </c>
      <c r="I32" s="1">
        <v>5</v>
      </c>
    </row>
    <row r="33" spans="1:9" x14ac:dyDescent="0.3">
      <c r="A33" s="64" t="s">
        <v>418</v>
      </c>
      <c r="B33" s="81"/>
      <c r="C33" s="13" t="s">
        <v>28</v>
      </c>
      <c r="D33" s="14" t="s">
        <v>180</v>
      </c>
      <c r="E33" s="14" t="s">
        <v>79</v>
      </c>
      <c r="F33" s="25"/>
      <c r="H33" s="1">
        <v>1.2</v>
      </c>
      <c r="I33" s="1">
        <v>5</v>
      </c>
    </row>
    <row r="34" spans="1:9" ht="28.8" x14ac:dyDescent="0.3">
      <c r="B34" s="81" t="s">
        <v>438</v>
      </c>
      <c r="C34" s="15" t="s">
        <v>24</v>
      </c>
      <c r="D34" s="15" t="s">
        <v>182</v>
      </c>
      <c r="E34" s="15" t="s">
        <v>181</v>
      </c>
      <c r="F34" s="13"/>
    </row>
    <row r="35" spans="1:9" x14ac:dyDescent="0.3">
      <c r="A35" s="64" t="s">
        <v>419</v>
      </c>
      <c r="B35" s="81"/>
      <c r="C35" s="13" t="s">
        <v>25</v>
      </c>
      <c r="D35" s="14" t="s">
        <v>180</v>
      </c>
      <c r="E35" s="14" t="s">
        <v>79</v>
      </c>
      <c r="F35" s="25"/>
      <c r="H35" s="1">
        <v>1.2</v>
      </c>
      <c r="I35" s="1">
        <v>5</v>
      </c>
    </row>
    <row r="36" spans="1:9" x14ac:dyDescent="0.3">
      <c r="A36" s="64" t="s">
        <v>420</v>
      </c>
      <c r="B36" s="81"/>
      <c r="C36" s="13" t="s">
        <v>26</v>
      </c>
      <c r="D36" s="14" t="s">
        <v>180</v>
      </c>
      <c r="E36" s="14" t="s">
        <v>79</v>
      </c>
      <c r="F36" s="25"/>
      <c r="H36" s="1">
        <v>1.2</v>
      </c>
      <c r="I36" s="1">
        <v>5</v>
      </c>
    </row>
    <row r="37" spans="1:9" x14ac:dyDescent="0.3">
      <c r="A37" s="64" t="s">
        <v>421</v>
      </c>
      <c r="B37" s="81"/>
      <c r="C37" s="13" t="s">
        <v>27</v>
      </c>
      <c r="D37" s="14" t="s">
        <v>1</v>
      </c>
      <c r="E37" s="14" t="s">
        <v>79</v>
      </c>
      <c r="F37" s="25"/>
      <c r="H37" s="1">
        <v>3</v>
      </c>
      <c r="I37" s="1">
        <v>5</v>
      </c>
    </row>
    <row r="38" spans="1:9" x14ac:dyDescent="0.3">
      <c r="A38" s="64" t="s">
        <v>422</v>
      </c>
      <c r="B38" s="81"/>
      <c r="C38" s="13" t="s">
        <v>28</v>
      </c>
      <c r="D38" s="14" t="s">
        <v>2</v>
      </c>
      <c r="E38" s="14" t="s">
        <v>79</v>
      </c>
      <c r="F38" s="25"/>
      <c r="H38" s="1">
        <v>0</v>
      </c>
      <c r="I38" s="1">
        <v>5</v>
      </c>
    </row>
    <row r="39" spans="1:9" ht="28.8" x14ac:dyDescent="0.3">
      <c r="B39" s="81" t="s">
        <v>437</v>
      </c>
      <c r="C39" s="15" t="s">
        <v>24</v>
      </c>
      <c r="D39" s="15" t="s">
        <v>182</v>
      </c>
      <c r="E39" s="15" t="s">
        <v>181</v>
      </c>
      <c r="F39" s="13"/>
    </row>
    <row r="40" spans="1:9" x14ac:dyDescent="0.3">
      <c r="A40" s="64" t="s">
        <v>423</v>
      </c>
      <c r="B40" s="81"/>
      <c r="C40" s="13" t="s">
        <v>25</v>
      </c>
      <c r="D40" s="14" t="s">
        <v>180</v>
      </c>
      <c r="E40" s="14" t="s">
        <v>79</v>
      </c>
      <c r="F40" s="25"/>
      <c r="H40" s="1">
        <v>1.2</v>
      </c>
      <c r="I40" s="1">
        <v>5</v>
      </c>
    </row>
    <row r="41" spans="1:9" x14ac:dyDescent="0.3">
      <c r="A41" s="64" t="s">
        <v>424</v>
      </c>
      <c r="B41" s="81"/>
      <c r="C41" s="13" t="s">
        <v>26</v>
      </c>
      <c r="D41" s="14" t="s">
        <v>180</v>
      </c>
      <c r="E41" s="14" t="s">
        <v>79</v>
      </c>
      <c r="F41" s="25"/>
      <c r="H41" s="1">
        <v>1.2</v>
      </c>
      <c r="I41" s="1">
        <v>5</v>
      </c>
    </row>
    <row r="42" spans="1:9" x14ac:dyDescent="0.3">
      <c r="A42" s="64" t="s">
        <v>425</v>
      </c>
      <c r="B42" s="81"/>
      <c r="C42" s="13" t="s">
        <v>27</v>
      </c>
      <c r="D42" s="14" t="s">
        <v>180</v>
      </c>
      <c r="E42" s="14" t="s">
        <v>79</v>
      </c>
      <c r="F42" s="25"/>
      <c r="H42" s="1">
        <v>1.2</v>
      </c>
      <c r="I42" s="1">
        <v>5</v>
      </c>
    </row>
    <row r="43" spans="1:9" x14ac:dyDescent="0.3">
      <c r="A43" s="64" t="s">
        <v>426</v>
      </c>
      <c r="B43" s="81"/>
      <c r="C43" s="13" t="s">
        <v>28</v>
      </c>
      <c r="D43" s="14" t="s">
        <v>180</v>
      </c>
      <c r="E43" s="14" t="s">
        <v>79</v>
      </c>
      <c r="F43" s="25"/>
      <c r="H43" s="1">
        <v>1.2</v>
      </c>
      <c r="I43" s="1">
        <v>5</v>
      </c>
    </row>
    <row r="44" spans="1:9" hidden="1" x14ac:dyDescent="0.3">
      <c r="B44" s="81" t="s">
        <v>436</v>
      </c>
      <c r="C44" s="15" t="s">
        <v>24</v>
      </c>
      <c r="D44" s="15" t="s">
        <v>30</v>
      </c>
      <c r="E44" s="81"/>
      <c r="F44" s="81"/>
    </row>
    <row r="45" spans="1:9" hidden="1" x14ac:dyDescent="0.3">
      <c r="A45" s="64" t="s">
        <v>427</v>
      </c>
      <c r="B45" s="81"/>
      <c r="C45" s="13" t="s">
        <v>25</v>
      </c>
      <c r="D45" s="14" t="s">
        <v>1</v>
      </c>
      <c r="E45" s="83"/>
      <c r="F45" s="83"/>
      <c r="H45" s="1">
        <v>0</v>
      </c>
      <c r="I45" s="1">
        <v>0</v>
      </c>
    </row>
    <row r="46" spans="1:9" hidden="1" x14ac:dyDescent="0.3">
      <c r="A46" s="64" t="s">
        <v>428</v>
      </c>
      <c r="B46" s="81"/>
      <c r="C46" s="13" t="s">
        <v>26</v>
      </c>
      <c r="D46" s="14" t="s">
        <v>2</v>
      </c>
      <c r="E46" s="83"/>
      <c r="F46" s="83"/>
      <c r="H46" s="1">
        <v>0</v>
      </c>
      <c r="I46" s="1">
        <v>0</v>
      </c>
    </row>
    <row r="47" spans="1:9" hidden="1" x14ac:dyDescent="0.3">
      <c r="A47" s="64" t="s">
        <v>429</v>
      </c>
      <c r="B47" s="81"/>
      <c r="C47" s="13" t="s">
        <v>27</v>
      </c>
      <c r="D47" s="14" t="s">
        <v>1</v>
      </c>
      <c r="E47" s="83"/>
      <c r="F47" s="83"/>
      <c r="H47" s="1">
        <v>0</v>
      </c>
      <c r="I47" s="1">
        <v>0</v>
      </c>
    </row>
    <row r="48" spans="1:9" ht="28.8" x14ac:dyDescent="0.3">
      <c r="B48" s="81" t="s">
        <v>435</v>
      </c>
      <c r="C48" s="15" t="s">
        <v>24</v>
      </c>
      <c r="D48" s="15" t="s">
        <v>177</v>
      </c>
      <c r="E48" s="81"/>
      <c r="F48" s="81"/>
    </row>
    <row r="49" spans="1:9" x14ac:dyDescent="0.3">
      <c r="A49" s="64" t="s">
        <v>430</v>
      </c>
      <c r="B49" s="81"/>
      <c r="C49" s="13" t="s">
        <v>25</v>
      </c>
      <c r="D49" s="16">
        <v>78</v>
      </c>
      <c r="E49" s="83"/>
      <c r="F49" s="83"/>
      <c r="H49" s="1">
        <v>4</v>
      </c>
      <c r="I49" s="1">
        <v>5</v>
      </c>
    </row>
    <row r="50" spans="1:9" x14ac:dyDescent="0.3">
      <c r="A50" s="64" t="s">
        <v>431</v>
      </c>
      <c r="B50" s="81"/>
      <c r="C50" s="13" t="s">
        <v>26</v>
      </c>
      <c r="D50" s="16">
        <v>45</v>
      </c>
      <c r="E50" s="83"/>
      <c r="F50" s="83"/>
      <c r="H50" s="1">
        <v>2</v>
      </c>
      <c r="I50" s="1">
        <v>5</v>
      </c>
    </row>
    <row r="51" spans="1:9" x14ac:dyDescent="0.3">
      <c r="A51" s="64" t="s">
        <v>432</v>
      </c>
      <c r="B51" s="81"/>
      <c r="C51" s="13" t="s">
        <v>27</v>
      </c>
      <c r="D51" s="16">
        <v>21</v>
      </c>
      <c r="E51" s="83"/>
      <c r="F51" s="83"/>
      <c r="H51" s="1">
        <v>1</v>
      </c>
      <c r="I51" s="1">
        <v>5</v>
      </c>
    </row>
    <row r="52" spans="1:9" ht="28.8" hidden="1" x14ac:dyDescent="0.3">
      <c r="A52" s="64" t="s">
        <v>362</v>
      </c>
      <c r="B52" s="81" t="s">
        <v>433</v>
      </c>
      <c r="C52" s="81"/>
      <c r="D52" s="14" t="s">
        <v>183</v>
      </c>
      <c r="E52" s="83"/>
      <c r="F52" s="83"/>
      <c r="H52" s="1">
        <v>0</v>
      </c>
      <c r="I52" s="1">
        <v>5</v>
      </c>
    </row>
    <row r="53" spans="1:9" ht="28.8" x14ac:dyDescent="0.3">
      <c r="A53" s="64" t="s">
        <v>363</v>
      </c>
      <c r="B53" s="81" t="s">
        <v>434</v>
      </c>
      <c r="C53" s="81"/>
      <c r="D53" s="14" t="s">
        <v>471</v>
      </c>
      <c r="E53" s="83"/>
      <c r="F53" s="83"/>
      <c r="H53" s="1">
        <v>3</v>
      </c>
      <c r="I53" s="1">
        <v>5</v>
      </c>
    </row>
    <row r="55" spans="1:9" ht="14.4" customHeight="1" x14ac:dyDescent="0.3">
      <c r="D55" s="74">
        <f>H56</f>
        <v>38.444444444444457</v>
      </c>
      <c r="E55" s="67"/>
      <c r="H55" s="1">
        <f>SUM(H2:H53)</f>
        <v>69.200000000000031</v>
      </c>
      <c r="I55" s="1">
        <f>SUM(I2:I53)</f>
        <v>180</v>
      </c>
    </row>
    <row r="56" spans="1:9" ht="14.4" customHeight="1" x14ac:dyDescent="0.3">
      <c r="D56" s="74"/>
      <c r="E56" s="67"/>
      <c r="H56" s="1">
        <f>(H55*I56)/I55</f>
        <v>38.444444444444457</v>
      </c>
      <c r="I56" s="1">
        <v>100</v>
      </c>
    </row>
  </sheetData>
  <dataConsolidate/>
  <mergeCells count="50">
    <mergeCell ref="B52:C52"/>
    <mergeCell ref="E52:F52"/>
    <mergeCell ref="B53:C53"/>
    <mergeCell ref="E53:F53"/>
    <mergeCell ref="B48:B51"/>
    <mergeCell ref="E48:F48"/>
    <mergeCell ref="E49:F49"/>
    <mergeCell ref="E50:F50"/>
    <mergeCell ref="E51:F51"/>
    <mergeCell ref="B29:B33"/>
    <mergeCell ref="B34:B38"/>
    <mergeCell ref="B39:B43"/>
    <mergeCell ref="B44:B47"/>
    <mergeCell ref="E44:F44"/>
    <mergeCell ref="E45:F45"/>
    <mergeCell ref="E46:F46"/>
    <mergeCell ref="E47:F47"/>
    <mergeCell ref="B19:B23"/>
    <mergeCell ref="B24:B28"/>
    <mergeCell ref="E24:F24"/>
    <mergeCell ref="E25:F25"/>
    <mergeCell ref="E26:F26"/>
    <mergeCell ref="E27:F27"/>
    <mergeCell ref="E28:F28"/>
    <mergeCell ref="B11:C11"/>
    <mergeCell ref="B12:C12"/>
    <mergeCell ref="B13:C13"/>
    <mergeCell ref="B6:B10"/>
    <mergeCell ref="B14:B18"/>
    <mergeCell ref="B2:C2"/>
    <mergeCell ref="B3:C3"/>
    <mergeCell ref="B4:C4"/>
    <mergeCell ref="B5:C5"/>
    <mergeCell ref="E1:F1"/>
    <mergeCell ref="E2:F2"/>
    <mergeCell ref="E3:F3"/>
    <mergeCell ref="E4:F4"/>
    <mergeCell ref="E5:F5"/>
    <mergeCell ref="E7:F7"/>
    <mergeCell ref="E8:F8"/>
    <mergeCell ref="E9:F9"/>
    <mergeCell ref="E10:F10"/>
    <mergeCell ref="E11:F11"/>
    <mergeCell ref="E17:F17"/>
    <mergeCell ref="E18:F18"/>
    <mergeCell ref="D55:D56"/>
    <mergeCell ref="E12:F12"/>
    <mergeCell ref="E13:F13"/>
    <mergeCell ref="E15:F15"/>
    <mergeCell ref="E16:F16"/>
  </mergeCells>
  <dataValidations count="2">
    <dataValidation type="whole" allowBlank="1" showInputMessage="1" showErrorMessage="1" errorTitle="How many?" error="Please input number of approvals" promptTitle="How many" prompt="Number of approvals" sqref="D7:D10">
      <formula1>0</formula1>
      <formula2>15</formula2>
    </dataValidation>
    <dataValidation type="decimal" allowBlank="1" showInputMessage="1" showErrorMessage="1" errorTitle="How big?" error="Please input scale of env w.r.t. prd" promptTitle="How big" prompt="Scale of env w.r.t. prd" sqref="D49:D51">
      <formula1>1</formula1>
      <formula2>100</formula2>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42000" r:id="rId4" name="btnDeploy_Calculate">
          <controlPr defaultSize="0" autoLine="0" r:id="rId5">
            <anchor moveWithCells="1">
              <from>
                <xdr:col>1</xdr:col>
                <xdr:colOff>4328160</xdr:colOff>
                <xdr:row>53</xdr:row>
                <xdr:rowOff>167640</xdr:rowOff>
              </from>
              <to>
                <xdr:col>2</xdr:col>
                <xdr:colOff>586740</xdr:colOff>
                <xdr:row>55</xdr:row>
                <xdr:rowOff>175260</xdr:rowOff>
              </to>
            </anchor>
          </controlPr>
        </control>
      </mc:Choice>
      <mc:Fallback>
        <control shapeId="42000" r:id="rId4" name="btnDeploy_Calculate"/>
      </mc:Fallback>
    </mc:AlternateContent>
  </controls>
  <extLst>
    <ext xmlns:x14="http://schemas.microsoft.com/office/spreadsheetml/2009/9/main" uri="{CCE6A557-97BC-4b89-ADB6-D9C93CAAB3DF}">
      <x14:dataValidations xmlns:xm="http://schemas.microsoft.com/office/excel/2006/main" count="10">
        <x14:dataValidation type="list" allowBlank="1" showInputMessage="1" showErrorMessage="1">
          <x14:formula1>
            <xm:f>DataNew!$B$79:$B$80</xm:f>
          </x14:formula1>
          <xm:sqref>D2:D3</xm:sqref>
        </x14:dataValidation>
        <x14:dataValidation type="list" allowBlank="1" showInputMessage="1" showErrorMessage="1">
          <x14:formula1>
            <xm:f>DataNew!$E$79:$E$81</xm:f>
          </x14:formula1>
          <xm:sqref>D4</xm:sqref>
        </x14:dataValidation>
        <x14:dataValidation type="list" allowBlank="1" showInputMessage="1" showErrorMessage="1">
          <x14:formula1>
            <xm:f>DataNew!$H$79:$H$82</xm:f>
          </x14:formula1>
          <xm:sqref>D5</xm:sqref>
        </x14:dataValidation>
        <x14:dataValidation type="list" allowBlank="1" showInputMessage="1" showErrorMessage="1">
          <x14:formula1>
            <xm:f>DataNew!$K$79:$K$81</xm:f>
          </x14:formula1>
          <xm:sqref>D11:D13</xm:sqref>
        </x14:dataValidation>
        <x14:dataValidation type="list" allowBlank="1" showInputMessage="1" showErrorMessage="1">
          <x14:formula1>
            <xm:f>DataNew!$N$79:$N$82</xm:f>
          </x14:formula1>
          <xm:sqref>D15:D18</xm:sqref>
        </x14:dataValidation>
        <x14:dataValidation type="list" allowBlank="1" showInputMessage="1" showErrorMessage="1">
          <x14:formula1>
            <xm:f>DataNew!$Q$79:$Q$81</xm:f>
          </x14:formula1>
          <xm:sqref>D20:D23 D25:D28 D30:D33 D35:D38 D40:D43</xm:sqref>
        </x14:dataValidation>
        <x14:dataValidation type="list" allowBlank="1" showInputMessage="1" showErrorMessage="1">
          <x14:formula1>
            <xm:f>DataNew!$T$79:$T$81</xm:f>
          </x14:formula1>
          <xm:sqref>E20:E23 E30:E33 E35:E38 E40:E43</xm:sqref>
        </x14:dataValidation>
        <x14:dataValidation type="list" allowBlank="1" showInputMessage="1" showErrorMessage="1">
          <x14:formula1>
            <xm:f>DataNew!$W$79:$W$80</xm:f>
          </x14:formula1>
          <xm:sqref>D45:D47</xm:sqref>
        </x14:dataValidation>
        <x14:dataValidation type="list" allowBlank="1" showInputMessage="1" showErrorMessage="1">
          <x14:formula1>
            <xm:f>DataNew!$Z$79:$Z$81</xm:f>
          </x14:formula1>
          <xm:sqref>D52</xm:sqref>
        </x14:dataValidation>
        <x14:dataValidation type="list" allowBlank="1" showInputMessage="1" showErrorMessage="1">
          <x14:formula1>
            <xm:f>DataNew!$AC$79:$AC$84</xm:f>
          </x14:formula1>
          <xm:sqref>D53</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Release"/>
  <dimension ref="A1:G12"/>
  <sheetViews>
    <sheetView workbookViewId="0">
      <selection activeCell="C18" sqref="C18"/>
    </sheetView>
  </sheetViews>
  <sheetFormatPr defaultRowHeight="14.4" x14ac:dyDescent="0.3"/>
  <cols>
    <col min="2" max="2" width="59" bestFit="1" customWidth="1"/>
    <col min="3" max="3" width="24.88671875" customWidth="1"/>
    <col min="4" max="4" width="44.77734375" style="5" customWidth="1"/>
    <col min="6" max="7" width="8.88671875" customWidth="1"/>
  </cols>
  <sheetData>
    <row r="1" spans="1:7" x14ac:dyDescent="0.3">
      <c r="D1" s="4" t="s">
        <v>116</v>
      </c>
      <c r="F1" s="4" t="s">
        <v>317</v>
      </c>
      <c r="G1" s="4" t="s">
        <v>318</v>
      </c>
    </row>
    <row r="2" spans="1:7" x14ac:dyDescent="0.3">
      <c r="A2" s="34" t="s">
        <v>319</v>
      </c>
      <c r="B2" s="7" t="s">
        <v>506</v>
      </c>
      <c r="C2" s="12" t="s">
        <v>190</v>
      </c>
      <c r="D2" s="24"/>
      <c r="F2">
        <v>5</v>
      </c>
      <c r="G2">
        <v>5</v>
      </c>
    </row>
    <row r="3" spans="1:7" x14ac:dyDescent="0.3">
      <c r="A3" s="34" t="s">
        <v>320</v>
      </c>
      <c r="B3" s="7" t="s">
        <v>505</v>
      </c>
      <c r="C3" s="12" t="s">
        <v>41</v>
      </c>
      <c r="D3" s="24"/>
      <c r="F3">
        <v>0</v>
      </c>
      <c r="G3">
        <v>0</v>
      </c>
    </row>
    <row r="4" spans="1:7" x14ac:dyDescent="0.3">
      <c r="A4" s="34" t="s">
        <v>321</v>
      </c>
      <c r="B4" s="7" t="s">
        <v>504</v>
      </c>
      <c r="C4" s="12" t="s">
        <v>192</v>
      </c>
      <c r="D4" s="24"/>
      <c r="F4">
        <v>3</v>
      </c>
      <c r="G4">
        <v>5</v>
      </c>
    </row>
    <row r="5" spans="1:7" hidden="1" x14ac:dyDescent="0.3">
      <c r="A5" s="63" t="s">
        <v>322</v>
      </c>
      <c r="B5" s="7" t="s">
        <v>503</v>
      </c>
      <c r="C5" s="12" t="s">
        <v>41</v>
      </c>
      <c r="D5" s="24"/>
      <c r="F5">
        <v>0</v>
      </c>
      <c r="G5">
        <v>0</v>
      </c>
    </row>
    <row r="6" spans="1:7" x14ac:dyDescent="0.3">
      <c r="A6" s="63" t="s">
        <v>323</v>
      </c>
      <c r="B6" s="7" t="s">
        <v>502</v>
      </c>
      <c r="C6" s="12" t="s">
        <v>195</v>
      </c>
      <c r="D6" s="24"/>
      <c r="F6">
        <v>0</v>
      </c>
      <c r="G6">
        <v>0</v>
      </c>
    </row>
    <row r="7" spans="1:7" x14ac:dyDescent="0.3">
      <c r="A7" s="63" t="s">
        <v>324</v>
      </c>
      <c r="B7" s="7" t="s">
        <v>501</v>
      </c>
      <c r="C7" s="12" t="s">
        <v>2</v>
      </c>
      <c r="D7" s="24"/>
      <c r="F7">
        <v>0</v>
      </c>
      <c r="G7">
        <v>5</v>
      </c>
    </row>
    <row r="8" spans="1:7" x14ac:dyDescent="0.3">
      <c r="A8" s="63" t="s">
        <v>325</v>
      </c>
      <c r="B8" s="85" t="s">
        <v>508</v>
      </c>
      <c r="C8" s="86" t="s">
        <v>1</v>
      </c>
      <c r="D8" s="87"/>
      <c r="F8">
        <v>5</v>
      </c>
      <c r="G8">
        <v>5</v>
      </c>
    </row>
    <row r="9" spans="1:7" x14ac:dyDescent="0.3">
      <c r="A9" s="88" t="s">
        <v>326</v>
      </c>
      <c r="B9" s="35" t="s">
        <v>507</v>
      </c>
      <c r="C9" s="12" t="s">
        <v>1</v>
      </c>
      <c r="D9" s="24"/>
      <c r="F9">
        <v>5</v>
      </c>
      <c r="G9">
        <v>5</v>
      </c>
    </row>
    <row r="10" spans="1:7" x14ac:dyDescent="0.3">
      <c r="A10" s="28"/>
      <c r="B10" s="28"/>
      <c r="C10" s="28"/>
      <c r="D10" s="33"/>
    </row>
    <row r="11" spans="1:7" x14ac:dyDescent="0.3">
      <c r="C11" s="74">
        <f>F12</f>
        <v>52</v>
      </c>
      <c r="F11">
        <f>SUM(F2:F8)</f>
        <v>13</v>
      </c>
      <c r="G11">
        <f>SUM(G2:G9)</f>
        <v>25</v>
      </c>
    </row>
    <row r="12" spans="1:7" x14ac:dyDescent="0.3">
      <c r="C12" s="74"/>
      <c r="F12">
        <f>(F11*G12)/G11</f>
        <v>52</v>
      </c>
      <c r="G12">
        <v>100</v>
      </c>
    </row>
  </sheetData>
  <mergeCells count="1">
    <mergeCell ref="C11:C12"/>
  </mergeCells>
  <pageMargins left="0.7" right="0.7" top="0.75" bottom="0.75" header="0.3" footer="0.3"/>
  <drawing r:id="rId1"/>
  <legacyDrawing r:id="rId2"/>
  <controls>
    <mc:AlternateContent xmlns:mc="http://schemas.openxmlformats.org/markup-compatibility/2006">
      <mc:Choice Requires="x14">
        <control shapeId="18439" r:id="rId3" name="btnRelease_Calculate">
          <controlPr defaultSize="0" autoLine="0" r:id="rId4">
            <anchor moveWithCells="1">
              <from>
                <xdr:col>1</xdr:col>
                <xdr:colOff>2537460</xdr:colOff>
                <xdr:row>9</xdr:row>
                <xdr:rowOff>175260</xdr:rowOff>
              </from>
              <to>
                <xdr:col>2</xdr:col>
                <xdr:colOff>0</xdr:colOff>
                <xdr:row>12</xdr:row>
                <xdr:rowOff>0</xdr:rowOff>
              </to>
            </anchor>
          </controlPr>
        </control>
      </mc:Choice>
      <mc:Fallback>
        <control shapeId="18439" r:id="rId3" name="btnRelease_Calculate"/>
      </mc:Fallback>
    </mc:AlternateContent>
  </controls>
  <extLst>
    <ext xmlns:x14="http://schemas.microsoft.com/office/spreadsheetml/2009/9/main" uri="{CCE6A557-97BC-4b89-ADB6-D9C93CAAB3DF}">
      <x14:dataValidations xmlns:xm="http://schemas.microsoft.com/office/excel/2006/main" count="4">
        <x14:dataValidation type="list" allowBlank="1" showInputMessage="1" showErrorMessage="1">
          <x14:formula1>
            <xm:f>DataNew!$B$87:$B$90</xm:f>
          </x14:formula1>
          <xm:sqref>C2:C3</xm:sqref>
        </x14:dataValidation>
        <x14:dataValidation type="list" allowBlank="1" showInputMessage="1" showErrorMessage="1">
          <x14:formula1>
            <xm:f>DataNew!$E$87:$E$92</xm:f>
          </x14:formula1>
          <xm:sqref>C4</xm:sqref>
        </x14:dataValidation>
        <x14:dataValidation type="list" allowBlank="1" showInputMessage="1" showErrorMessage="1">
          <x14:formula1>
            <xm:f>DataNew!$H$87:$H$90</xm:f>
          </x14:formula1>
          <xm:sqref>C5</xm:sqref>
        </x14:dataValidation>
        <x14:dataValidation type="list" allowBlank="1" showInputMessage="1" showErrorMessage="1">
          <x14:formula1>
            <xm:f>DataNew!$N$87:$N$89</xm:f>
          </x14:formula1>
          <xm:sqref>C6:C9</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RunTime"/>
  <dimension ref="A1:G11"/>
  <sheetViews>
    <sheetView workbookViewId="0">
      <selection activeCell="D18" sqref="D18"/>
    </sheetView>
  </sheetViews>
  <sheetFormatPr defaultRowHeight="14.4" x14ac:dyDescent="0.3"/>
  <cols>
    <col min="2" max="2" width="78.21875" customWidth="1"/>
    <col min="3" max="3" width="24.88671875" customWidth="1"/>
    <col min="4" max="4" width="44.77734375" style="5" customWidth="1"/>
    <col min="6" max="7" width="8.88671875" customWidth="1"/>
  </cols>
  <sheetData>
    <row r="1" spans="1:7" x14ac:dyDescent="0.3">
      <c r="D1" s="4" t="s">
        <v>116</v>
      </c>
      <c r="F1" s="4" t="s">
        <v>317</v>
      </c>
      <c r="G1" s="4" t="s">
        <v>318</v>
      </c>
    </row>
    <row r="2" spans="1:7" ht="28.8" x14ac:dyDescent="0.3">
      <c r="A2" s="62" t="s">
        <v>319</v>
      </c>
      <c r="B2" s="55" t="s">
        <v>196</v>
      </c>
      <c r="C2" s="53" t="s">
        <v>8</v>
      </c>
      <c r="D2" s="24"/>
      <c r="F2">
        <v>5</v>
      </c>
      <c r="G2">
        <v>5</v>
      </c>
    </row>
    <row r="3" spans="1:7" ht="28.8" x14ac:dyDescent="0.3">
      <c r="A3" s="62" t="s">
        <v>320</v>
      </c>
      <c r="B3" s="55" t="s">
        <v>448</v>
      </c>
      <c r="C3" s="53" t="s">
        <v>195</v>
      </c>
      <c r="D3" s="24"/>
      <c r="F3">
        <v>0</v>
      </c>
      <c r="G3">
        <v>0</v>
      </c>
    </row>
    <row r="4" spans="1:7" x14ac:dyDescent="0.3">
      <c r="A4" s="62" t="s">
        <v>321</v>
      </c>
      <c r="B4" s="54" t="s">
        <v>500</v>
      </c>
      <c r="C4" s="53" t="s">
        <v>199</v>
      </c>
      <c r="D4" s="24"/>
      <c r="F4">
        <v>3</v>
      </c>
      <c r="G4">
        <v>5</v>
      </c>
    </row>
    <row r="5" spans="1:7" x14ac:dyDescent="0.3">
      <c r="A5" s="62" t="s">
        <v>322</v>
      </c>
      <c r="B5" s="54" t="s">
        <v>449</v>
      </c>
      <c r="C5" s="53" t="s">
        <v>1</v>
      </c>
      <c r="D5" s="24"/>
      <c r="F5">
        <v>5</v>
      </c>
      <c r="G5">
        <v>5</v>
      </c>
    </row>
    <row r="6" spans="1:7" ht="28.8" x14ac:dyDescent="0.3">
      <c r="A6" s="62" t="s">
        <v>323</v>
      </c>
      <c r="B6" s="55" t="s">
        <v>97</v>
      </c>
      <c r="C6" s="53" t="s">
        <v>200</v>
      </c>
      <c r="D6" s="24"/>
      <c r="F6">
        <v>5</v>
      </c>
      <c r="G6">
        <v>5</v>
      </c>
    </row>
    <row r="7" spans="1:7" hidden="1" x14ac:dyDescent="0.3">
      <c r="A7" s="62" t="s">
        <v>324</v>
      </c>
      <c r="B7" s="54" t="s">
        <v>302</v>
      </c>
      <c r="C7" s="53" t="s">
        <v>1</v>
      </c>
      <c r="D7" s="24"/>
      <c r="F7">
        <v>0</v>
      </c>
      <c r="G7">
        <v>0</v>
      </c>
    </row>
    <row r="8" spans="1:7" x14ac:dyDescent="0.3">
      <c r="A8" s="62" t="s">
        <v>325</v>
      </c>
      <c r="B8" s="54" t="s">
        <v>203</v>
      </c>
      <c r="C8" s="53" t="s">
        <v>204</v>
      </c>
      <c r="D8" s="24"/>
      <c r="F8">
        <v>1</v>
      </c>
      <c r="G8">
        <v>5</v>
      </c>
    </row>
    <row r="9" spans="1:7" x14ac:dyDescent="0.3">
      <c r="A9" s="28"/>
      <c r="B9" s="28"/>
      <c r="C9" s="28"/>
      <c r="D9" s="33"/>
    </row>
    <row r="10" spans="1:7" x14ac:dyDescent="0.3">
      <c r="C10" s="74">
        <f>F11</f>
        <v>76</v>
      </c>
      <c r="F10">
        <f>SUM(F2:F8)</f>
        <v>19</v>
      </c>
      <c r="G10">
        <f>SUM(G2:G8)</f>
        <v>25</v>
      </c>
    </row>
    <row r="11" spans="1:7" x14ac:dyDescent="0.3">
      <c r="C11" s="74"/>
      <c r="F11">
        <f>(F10*G11)/G10</f>
        <v>76</v>
      </c>
      <c r="G11">
        <v>100</v>
      </c>
    </row>
  </sheetData>
  <mergeCells count="1">
    <mergeCell ref="C10:C11"/>
  </mergeCells>
  <pageMargins left="0.7" right="0.7" top="0.75" bottom="0.75" header="0.3" footer="0.3"/>
  <drawing r:id="rId1"/>
  <legacyDrawing r:id="rId2"/>
  <controls>
    <mc:AlternateContent xmlns:mc="http://schemas.openxmlformats.org/markup-compatibility/2006">
      <mc:Choice Requires="x14">
        <control shapeId="43012" r:id="rId3" name="btnRunTime_Calculate">
          <controlPr defaultSize="0" autoLine="0" r:id="rId4">
            <anchor moveWithCells="1">
              <from>
                <xdr:col>1</xdr:col>
                <xdr:colOff>3825240</xdr:colOff>
                <xdr:row>9</xdr:row>
                <xdr:rowOff>0</xdr:rowOff>
              </from>
              <to>
                <xdr:col>1</xdr:col>
                <xdr:colOff>5334000</xdr:colOff>
                <xdr:row>11</xdr:row>
                <xdr:rowOff>7620</xdr:rowOff>
              </to>
            </anchor>
          </controlPr>
        </control>
      </mc:Choice>
      <mc:Fallback>
        <control shapeId="43012" r:id="rId3" name="btnRunTime_Calculate"/>
      </mc:Fallback>
    </mc:AlternateContent>
  </controls>
  <extLst>
    <ext xmlns:x14="http://schemas.microsoft.com/office/spreadsheetml/2009/9/main" uri="{CCE6A557-97BC-4b89-ADB6-D9C93CAAB3DF}">
      <x14:dataValidations xmlns:xm="http://schemas.microsoft.com/office/excel/2006/main" count="7">
        <x14:dataValidation type="list" allowBlank="1" showInputMessage="1" showErrorMessage="1">
          <x14:formula1>
            <xm:f>DataNew!$K$96:$K$97</xm:f>
          </x14:formula1>
          <xm:sqref>C7</xm:sqref>
        </x14:dataValidation>
        <x14:dataValidation type="list" allowBlank="1" showInputMessage="1" showErrorMessage="1">
          <x14:formula1>
            <xm:f>DataNew!$E$96:$E$98</xm:f>
          </x14:formula1>
          <xm:sqref>C3</xm:sqref>
        </x14:dataValidation>
        <x14:dataValidation type="list" allowBlank="1" showInputMessage="1" showErrorMessage="1">
          <x14:formula1>
            <xm:f>DataNew!$H$96:$H$98</xm:f>
          </x14:formula1>
          <xm:sqref>C4</xm:sqref>
        </x14:dataValidation>
        <x14:dataValidation type="list" allowBlank="1" showInputMessage="1" showErrorMessage="1">
          <x14:formula1>
            <xm:f>DataNew!$K$96:$K$97</xm:f>
          </x14:formula1>
          <xm:sqref>C5</xm:sqref>
        </x14:dataValidation>
        <x14:dataValidation type="list" allowBlank="1" showInputMessage="1" showErrorMessage="1">
          <x14:formula1>
            <xm:f>DataNew!$N$96:$N$99</xm:f>
          </x14:formula1>
          <xm:sqref>C6</xm:sqref>
        </x14:dataValidation>
        <x14:dataValidation type="list" allowBlank="1" showInputMessage="1" showErrorMessage="1">
          <x14:formula1>
            <xm:f>DataNew!$Q$96:$Q$100</xm:f>
          </x14:formula1>
          <xm:sqref>C8</xm:sqref>
        </x14:dataValidation>
        <x14:dataValidation type="list" allowBlank="1" showInputMessage="1" showErrorMessage="1">
          <x14:formula1>
            <xm:f>DataNew!$B$96:$B$100</xm:f>
          </x14:formula1>
          <xm:sqref>C2</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Infrastructure"/>
  <dimension ref="A1:H13"/>
  <sheetViews>
    <sheetView workbookViewId="0">
      <selection activeCell="G12" sqref="G12"/>
    </sheetView>
  </sheetViews>
  <sheetFormatPr defaultRowHeight="14.4" x14ac:dyDescent="0.3"/>
  <cols>
    <col min="2" max="2" width="57.5546875" style="1" bestFit="1" customWidth="1"/>
    <col min="3" max="3" width="8.88671875" style="1"/>
    <col min="4" max="4" width="24.88671875" style="1" customWidth="1"/>
    <col min="5" max="5" width="44.77734375" style="30" customWidth="1"/>
    <col min="7" max="8" width="8.88671875" customWidth="1"/>
  </cols>
  <sheetData>
    <row r="1" spans="1:8" x14ac:dyDescent="0.3">
      <c r="E1" s="26" t="s">
        <v>205</v>
      </c>
      <c r="G1" s="4" t="s">
        <v>317</v>
      </c>
      <c r="H1" s="4" t="s">
        <v>318</v>
      </c>
    </row>
    <row r="2" spans="1:8" ht="28.8" customHeight="1" x14ac:dyDescent="0.3">
      <c r="A2" s="62" t="s">
        <v>319</v>
      </c>
      <c r="B2" s="84" t="s">
        <v>303</v>
      </c>
      <c r="C2" s="84"/>
      <c r="D2" s="56" t="s">
        <v>1</v>
      </c>
      <c r="E2" s="52"/>
      <c r="G2">
        <v>5</v>
      </c>
      <c r="H2">
        <v>5</v>
      </c>
    </row>
    <row r="3" spans="1:8" x14ac:dyDescent="0.3">
      <c r="A3" s="62" t="s">
        <v>320</v>
      </c>
      <c r="B3" s="84" t="s">
        <v>305</v>
      </c>
      <c r="C3" s="84"/>
      <c r="D3" s="56" t="s">
        <v>1</v>
      </c>
      <c r="E3" s="52"/>
      <c r="G3">
        <v>5</v>
      </c>
      <c r="H3">
        <v>5</v>
      </c>
    </row>
    <row r="4" spans="1:8" x14ac:dyDescent="0.3">
      <c r="A4" s="62" t="s">
        <v>321</v>
      </c>
      <c r="B4" s="84" t="s">
        <v>100</v>
      </c>
      <c r="C4" s="84"/>
      <c r="D4" s="56" t="s">
        <v>93</v>
      </c>
      <c r="E4" s="52"/>
      <c r="G4">
        <v>1</v>
      </c>
      <c r="H4">
        <v>5</v>
      </c>
    </row>
    <row r="5" spans="1:8" x14ac:dyDescent="0.3">
      <c r="A5" s="62" t="s">
        <v>322</v>
      </c>
      <c r="B5" s="84" t="s">
        <v>450</v>
      </c>
      <c r="C5" s="84"/>
      <c r="D5" s="56" t="s">
        <v>1</v>
      </c>
      <c r="E5" s="52"/>
      <c r="G5">
        <v>5</v>
      </c>
      <c r="H5">
        <v>5</v>
      </c>
    </row>
    <row r="6" spans="1:8" x14ac:dyDescent="0.3">
      <c r="A6" s="8"/>
      <c r="B6" s="84" t="s">
        <v>102</v>
      </c>
      <c r="C6" s="58" t="s">
        <v>24</v>
      </c>
      <c r="D6" s="57" t="s">
        <v>30</v>
      </c>
      <c r="E6" s="52"/>
    </row>
    <row r="7" spans="1:8" x14ac:dyDescent="0.3">
      <c r="A7" s="62" t="s">
        <v>399</v>
      </c>
      <c r="B7" s="84"/>
      <c r="C7" s="55" t="s">
        <v>103</v>
      </c>
      <c r="D7" s="56" t="s">
        <v>1</v>
      </c>
      <c r="E7" s="52"/>
      <c r="G7">
        <v>5</v>
      </c>
      <c r="H7">
        <v>5</v>
      </c>
    </row>
    <row r="8" spans="1:8" x14ac:dyDescent="0.3">
      <c r="A8" s="62" t="s">
        <v>400</v>
      </c>
      <c r="B8" s="84"/>
      <c r="C8" s="55" t="s">
        <v>104</v>
      </c>
      <c r="D8" s="56" t="s">
        <v>1</v>
      </c>
      <c r="E8" s="52"/>
      <c r="G8">
        <v>5</v>
      </c>
      <c r="H8">
        <v>5</v>
      </c>
    </row>
    <row r="9" spans="1:8" x14ac:dyDescent="0.3">
      <c r="A9" s="62" t="s">
        <v>401</v>
      </c>
      <c r="B9" s="84"/>
      <c r="C9" s="55" t="s">
        <v>105</v>
      </c>
      <c r="D9" s="56" t="s">
        <v>1</v>
      </c>
      <c r="E9" s="52"/>
      <c r="G9">
        <v>5</v>
      </c>
      <c r="H9">
        <v>5</v>
      </c>
    </row>
    <row r="10" spans="1:8" ht="28.8" customHeight="1" x14ac:dyDescent="0.3">
      <c r="A10" s="62" t="s">
        <v>324</v>
      </c>
      <c r="B10" s="84" t="s">
        <v>451</v>
      </c>
      <c r="C10" s="84"/>
      <c r="D10" s="56" t="s">
        <v>2</v>
      </c>
      <c r="E10" s="52"/>
      <c r="G10">
        <v>0</v>
      </c>
      <c r="H10">
        <v>5</v>
      </c>
    </row>
    <row r="11" spans="1:8" x14ac:dyDescent="0.3">
      <c r="B11" s="31"/>
      <c r="C11" s="31"/>
      <c r="D11" s="31"/>
      <c r="E11" s="36"/>
    </row>
    <row r="12" spans="1:8" ht="14.4" customHeight="1" x14ac:dyDescent="0.3">
      <c r="B12" s="31"/>
      <c r="C12" s="31"/>
      <c r="D12" s="74">
        <f>G13</f>
        <v>77.5</v>
      </c>
      <c r="E12" s="36"/>
      <c r="G12">
        <f>SUM(G2:G10)</f>
        <v>31</v>
      </c>
      <c r="H12">
        <f>SUM(H2:H10)</f>
        <v>40</v>
      </c>
    </row>
    <row r="13" spans="1:8" ht="14.4" customHeight="1" x14ac:dyDescent="0.3">
      <c r="D13" s="74"/>
      <c r="G13">
        <f>(G12*H13)/H12</f>
        <v>77.5</v>
      </c>
      <c r="H13">
        <v>100</v>
      </c>
    </row>
  </sheetData>
  <mergeCells count="7">
    <mergeCell ref="D12:D13"/>
    <mergeCell ref="B10:C10"/>
    <mergeCell ref="B2:C2"/>
    <mergeCell ref="B3:C3"/>
    <mergeCell ref="B4:C4"/>
    <mergeCell ref="B5:C5"/>
    <mergeCell ref="B6:B9"/>
  </mergeCells>
  <pageMargins left="0.7" right="0.7" top="0.75" bottom="0.75" header="0.3" footer="0.3"/>
  <drawing r:id="rId1"/>
  <legacyDrawing r:id="rId2"/>
  <controls>
    <mc:AlternateContent xmlns:mc="http://schemas.openxmlformats.org/markup-compatibility/2006">
      <mc:Choice Requires="x14">
        <control shapeId="35842" r:id="rId3" name="btnInfrastructure_Calculate">
          <controlPr defaultSize="0" autoLine="0" r:id="rId4">
            <anchor moveWithCells="1">
              <from>
                <xdr:col>1</xdr:col>
                <xdr:colOff>3055620</xdr:colOff>
                <xdr:row>10</xdr:row>
                <xdr:rowOff>175260</xdr:rowOff>
              </from>
              <to>
                <xdr:col>3</xdr:col>
                <xdr:colOff>7620</xdr:colOff>
                <xdr:row>13</xdr:row>
                <xdr:rowOff>0</xdr:rowOff>
              </to>
            </anchor>
          </controlPr>
        </control>
      </mc:Choice>
      <mc:Fallback>
        <control shapeId="35842" r:id="rId3" name="btnInfrastructure_Calculate"/>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DataNew!$B$104:$B$105</xm:f>
          </x14:formula1>
          <xm:sqref>D2:D3 D5 D7:D10</xm:sqref>
        </x14:dataValidation>
        <x14:dataValidation type="list" allowBlank="1" showInputMessage="1" showErrorMessage="1">
          <x14:formula1>
            <xm:f>DataNew!$E$104:$E$110</xm:f>
          </x14:formula1>
          <xm:sqref>D4</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002060"/>
  </sheetPr>
  <dimension ref="B2:D13"/>
  <sheetViews>
    <sheetView tabSelected="1" topLeftCell="A10" workbookViewId="0">
      <selection activeCell="R11" sqref="R11"/>
    </sheetView>
  </sheetViews>
  <sheetFormatPr defaultRowHeight="14.4" x14ac:dyDescent="0.3"/>
  <cols>
    <col min="1" max="1" width="5.33203125" customWidth="1"/>
    <col min="2" max="2" width="22.88671875" bestFit="1" customWidth="1"/>
  </cols>
  <sheetData>
    <row r="2" spans="2:4" x14ac:dyDescent="0.3">
      <c r="B2" s="4" t="s">
        <v>485</v>
      </c>
      <c r="C2" s="4" t="s">
        <v>486</v>
      </c>
      <c r="D2" s="4"/>
    </row>
    <row r="3" spans="2:4" x14ac:dyDescent="0.3">
      <c r="B3" t="s">
        <v>65</v>
      </c>
      <c r="C3" s="68">
        <f>RequirementMgmt!C7</f>
        <v>15</v>
      </c>
      <c r="D3" s="3">
        <v>100</v>
      </c>
    </row>
    <row r="4" spans="2:4" x14ac:dyDescent="0.3">
      <c r="B4" t="s">
        <v>66</v>
      </c>
      <c r="C4" s="68">
        <f>VersionControl!C26</f>
        <v>46</v>
      </c>
      <c r="D4" s="3">
        <v>100</v>
      </c>
    </row>
    <row r="5" spans="2:4" x14ac:dyDescent="0.3">
      <c r="B5" t="s">
        <v>127</v>
      </c>
      <c r="C5" s="68">
        <f>UnitTesting!C11</f>
        <v>40</v>
      </c>
      <c r="D5" s="3">
        <v>100</v>
      </c>
    </row>
    <row r="6" spans="2:4" x14ac:dyDescent="0.3">
      <c r="B6" t="s">
        <v>80</v>
      </c>
      <c r="C6" s="68">
        <f>CodeQualityAndAnalytics!C27</f>
        <v>41.333333333333336</v>
      </c>
      <c r="D6" s="3">
        <v>100</v>
      </c>
    </row>
    <row r="7" spans="2:4" x14ac:dyDescent="0.3">
      <c r="B7" t="s">
        <v>7</v>
      </c>
      <c r="C7" s="68">
        <f>Build!C12</f>
        <v>66.666666666666671</v>
      </c>
      <c r="D7" s="3">
        <v>100</v>
      </c>
    </row>
    <row r="8" spans="2:4" x14ac:dyDescent="0.3">
      <c r="B8" t="s">
        <v>12</v>
      </c>
      <c r="C8" s="68">
        <f>Testing!C50</f>
        <v>63</v>
      </c>
      <c r="D8" s="3">
        <v>100</v>
      </c>
    </row>
    <row r="9" spans="2:4" x14ac:dyDescent="0.3">
      <c r="B9" t="s">
        <v>31</v>
      </c>
      <c r="C9" s="68">
        <f>UserAcceptanceTesting!C8</f>
        <v>68</v>
      </c>
      <c r="D9" s="3">
        <v>100</v>
      </c>
    </row>
    <row r="10" spans="2:4" x14ac:dyDescent="0.3">
      <c r="B10" t="s">
        <v>20</v>
      </c>
      <c r="C10" s="68">
        <f>Deploy!D55</f>
        <v>38.444444444444457</v>
      </c>
      <c r="D10" s="3">
        <v>100</v>
      </c>
    </row>
    <row r="11" spans="2:4" x14ac:dyDescent="0.3">
      <c r="B11" t="s">
        <v>40</v>
      </c>
      <c r="C11" s="68">
        <f>Release!C11</f>
        <v>52</v>
      </c>
      <c r="D11" s="3">
        <v>100</v>
      </c>
    </row>
    <row r="12" spans="2:4" x14ac:dyDescent="0.3">
      <c r="B12" t="s">
        <v>96</v>
      </c>
      <c r="C12" s="68">
        <f>RunTime!C10</f>
        <v>76</v>
      </c>
      <c r="D12" s="3">
        <v>100</v>
      </c>
    </row>
    <row r="13" spans="2:4" x14ac:dyDescent="0.3">
      <c r="C13" s="68"/>
      <c r="D13" s="3"/>
    </row>
  </sheetData>
  <pageMargins left="0.7" right="0.7" top="0.75" bottom="0.75" header="0.3" footer="0.3"/>
  <pageSetup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ataNew"/>
  <dimension ref="A1:AZ110"/>
  <sheetViews>
    <sheetView topLeftCell="A91" zoomScale="110" zoomScaleNormal="110" workbookViewId="0">
      <selection activeCell="H105" sqref="H105"/>
    </sheetView>
  </sheetViews>
  <sheetFormatPr defaultRowHeight="14.4" x14ac:dyDescent="0.3"/>
  <cols>
    <col min="1" max="1" width="24.44140625" customWidth="1"/>
    <col min="2" max="2" width="33.21875" style="5" customWidth="1"/>
    <col min="3" max="3" width="3.88671875" style="5" customWidth="1"/>
    <col min="4" max="4" width="2.6640625" style="5" customWidth="1"/>
    <col min="5" max="5" width="21.5546875" style="5" customWidth="1"/>
    <col min="6" max="6" width="3.44140625" style="5" customWidth="1"/>
    <col min="7" max="7" width="2.6640625" style="5" customWidth="1"/>
    <col min="8" max="8" width="32.44140625" style="5" customWidth="1"/>
    <col min="9" max="9" width="2.88671875" style="5" customWidth="1"/>
    <col min="10" max="10" width="3.109375" style="5" customWidth="1"/>
    <col min="11" max="11" width="32.33203125" style="5" customWidth="1"/>
    <col min="12" max="12" width="2.6640625" style="5" customWidth="1"/>
    <col min="13" max="13" width="3" style="5" customWidth="1"/>
    <col min="14" max="14" width="32.109375" style="5" customWidth="1"/>
    <col min="15" max="16" width="2.33203125" style="5" customWidth="1"/>
    <col min="17" max="17" width="30.44140625" style="30" customWidth="1"/>
    <col min="18" max="19" width="2.33203125" style="30" customWidth="1"/>
    <col min="20" max="20" width="26.77734375" style="30" customWidth="1"/>
    <col min="21" max="22" width="2.5546875" style="30" customWidth="1"/>
    <col min="23" max="23" width="26.5546875" style="30" customWidth="1"/>
    <col min="24" max="25" width="2.5546875" style="30" customWidth="1"/>
    <col min="26" max="26" width="26.77734375" style="30" customWidth="1"/>
    <col min="27" max="28" width="3" style="30" customWidth="1"/>
    <col min="29" max="29" width="35.77734375" style="30" customWidth="1"/>
    <col min="30" max="31" width="3" style="30" customWidth="1"/>
    <col min="32" max="32" width="32" style="30" customWidth="1"/>
    <col min="33" max="34" width="3.44140625" style="30" customWidth="1"/>
    <col min="35" max="35" width="32" style="30" customWidth="1"/>
    <col min="36" max="37" width="3.44140625" style="30" customWidth="1"/>
    <col min="38" max="38" width="32" style="30" customWidth="1"/>
    <col min="39" max="39" width="3.44140625" style="30" customWidth="1"/>
    <col min="40" max="40" width="3.44140625" style="5" customWidth="1"/>
    <col min="41" max="41" width="32" customWidth="1"/>
    <col min="42" max="43" width="3.44140625" customWidth="1"/>
    <col min="44" max="44" width="32" customWidth="1"/>
    <col min="45" max="46" width="3.77734375" customWidth="1"/>
    <col min="47" max="47" width="32" customWidth="1"/>
    <col min="48" max="49" width="3.44140625" customWidth="1"/>
    <col min="50" max="50" width="32" customWidth="1"/>
    <col min="51" max="52" width="3.44140625" customWidth="1"/>
  </cols>
  <sheetData>
    <row r="1" spans="1:34" x14ac:dyDescent="0.3">
      <c r="A1" s="1" t="s">
        <v>39</v>
      </c>
      <c r="B1" s="30"/>
      <c r="C1" s="30"/>
      <c r="D1" s="30"/>
    </row>
    <row r="2" spans="1:34" x14ac:dyDescent="0.3">
      <c r="A2" s="1"/>
      <c r="B2" s="30" t="s">
        <v>1</v>
      </c>
      <c r="C2" s="30"/>
      <c r="D2" s="30"/>
    </row>
    <row r="3" spans="1:34" x14ac:dyDescent="0.3">
      <c r="A3" s="1"/>
      <c r="B3" s="30" t="s">
        <v>2</v>
      </c>
      <c r="C3" s="30"/>
      <c r="D3" s="30"/>
    </row>
    <row r="4" spans="1:34" x14ac:dyDescent="0.3">
      <c r="A4" s="1"/>
      <c r="B4" s="30"/>
      <c r="C4" s="30"/>
      <c r="D4" s="30"/>
    </row>
    <row r="5" spans="1:34" x14ac:dyDescent="0.3">
      <c r="A5" s="1"/>
      <c r="B5" s="30"/>
      <c r="C5" s="30"/>
      <c r="D5" s="30"/>
    </row>
    <row r="6" spans="1:34" x14ac:dyDescent="0.3">
      <c r="A6" s="1" t="s">
        <v>65</v>
      </c>
      <c r="B6" s="30"/>
      <c r="C6" s="30"/>
      <c r="D6" s="30"/>
    </row>
    <row r="7" spans="1:34" x14ac:dyDescent="0.3">
      <c r="B7" s="5" t="s">
        <v>1</v>
      </c>
      <c r="C7" s="5">
        <v>5</v>
      </c>
    </row>
    <row r="8" spans="1:34" x14ac:dyDescent="0.3">
      <c r="B8" s="5" t="s">
        <v>2</v>
      </c>
      <c r="C8" s="5">
        <v>0</v>
      </c>
    </row>
    <row r="10" spans="1:34" x14ac:dyDescent="0.3">
      <c r="A10" t="s">
        <v>221</v>
      </c>
    </row>
    <row r="11" spans="1:34" x14ac:dyDescent="0.3">
      <c r="B11" s="5" t="s">
        <v>1</v>
      </c>
      <c r="C11" s="5">
        <v>5</v>
      </c>
      <c r="E11" s="5" t="s">
        <v>1</v>
      </c>
      <c r="F11" s="5">
        <v>5</v>
      </c>
      <c r="H11" s="30" t="s">
        <v>118</v>
      </c>
      <c r="I11" s="30">
        <v>5</v>
      </c>
      <c r="J11" s="30"/>
      <c r="K11" s="30" t="s">
        <v>68</v>
      </c>
      <c r="L11" s="30">
        <v>0</v>
      </c>
      <c r="M11" s="30"/>
      <c r="N11" s="30" t="s">
        <v>73</v>
      </c>
      <c r="O11" s="30">
        <v>4</v>
      </c>
      <c r="P11" s="30"/>
      <c r="Q11" s="30" t="s">
        <v>73</v>
      </c>
      <c r="R11" s="30">
        <v>4</v>
      </c>
      <c r="T11" s="32" t="s">
        <v>75</v>
      </c>
      <c r="U11" s="32">
        <v>4</v>
      </c>
      <c r="V11" s="32"/>
      <c r="W11" s="29" t="s">
        <v>123</v>
      </c>
      <c r="X11" s="29">
        <v>5</v>
      </c>
      <c r="Y11" s="29"/>
      <c r="Z11" s="1" t="s">
        <v>77</v>
      </c>
      <c r="AA11" s="1">
        <v>0</v>
      </c>
      <c r="AB11" s="1"/>
      <c r="AC11" s="30" t="s">
        <v>315</v>
      </c>
      <c r="AD11" s="30">
        <v>0</v>
      </c>
      <c r="AG11" s="30">
        <v>0</v>
      </c>
    </row>
    <row r="12" spans="1:34" ht="28.8" x14ac:dyDescent="0.3">
      <c r="B12" s="5" t="s">
        <v>2</v>
      </c>
      <c r="C12" s="5">
        <v>0</v>
      </c>
      <c r="E12" s="5" t="s">
        <v>2</v>
      </c>
      <c r="F12" s="5">
        <v>0</v>
      </c>
      <c r="H12" s="30" t="s">
        <v>119</v>
      </c>
      <c r="I12" s="30">
        <v>3</v>
      </c>
      <c r="J12" s="30"/>
      <c r="K12" s="30" t="s">
        <v>69</v>
      </c>
      <c r="L12" s="30">
        <v>0</v>
      </c>
      <c r="M12" s="30"/>
      <c r="N12" s="30" t="s">
        <v>74</v>
      </c>
      <c r="O12" s="30">
        <v>3</v>
      </c>
      <c r="P12" s="30"/>
      <c r="Q12" s="30" t="s">
        <v>74</v>
      </c>
      <c r="R12" s="30">
        <v>3</v>
      </c>
      <c r="T12" s="32" t="s">
        <v>76</v>
      </c>
      <c r="U12" s="32">
        <v>1</v>
      </c>
      <c r="V12" s="32"/>
      <c r="W12" s="29" t="s">
        <v>124</v>
      </c>
      <c r="X12" s="29">
        <v>4</v>
      </c>
      <c r="Y12" s="29"/>
      <c r="Z12" s="1" t="s">
        <v>79</v>
      </c>
      <c r="AA12" s="1">
        <v>3</v>
      </c>
      <c r="AB12" s="1"/>
      <c r="AC12" s="30" t="s">
        <v>316</v>
      </c>
      <c r="AD12" s="30">
        <v>0</v>
      </c>
      <c r="AG12" s="30">
        <v>0</v>
      </c>
    </row>
    <row r="13" spans="1:34" ht="28.8" x14ac:dyDescent="0.3">
      <c r="E13" s="5" t="s">
        <v>90</v>
      </c>
      <c r="F13" s="5">
        <v>0</v>
      </c>
      <c r="G13" s="5">
        <v>0</v>
      </c>
      <c r="H13" s="30" t="s">
        <v>120</v>
      </c>
      <c r="I13" s="30">
        <v>0</v>
      </c>
      <c r="J13" s="30"/>
      <c r="K13" s="30" t="s">
        <v>70</v>
      </c>
      <c r="L13" s="30">
        <v>0</v>
      </c>
      <c r="M13" s="30"/>
      <c r="N13" s="30" t="s">
        <v>23</v>
      </c>
      <c r="O13" s="30">
        <v>2</v>
      </c>
      <c r="P13" s="30"/>
      <c r="Q13" s="30" t="s">
        <v>22</v>
      </c>
      <c r="R13" s="30">
        <v>0</v>
      </c>
      <c r="T13" s="32" t="s">
        <v>461</v>
      </c>
      <c r="U13" s="32">
        <v>2</v>
      </c>
      <c r="V13" s="32"/>
      <c r="W13" s="29" t="s">
        <v>125</v>
      </c>
      <c r="X13" s="29">
        <v>2</v>
      </c>
      <c r="Y13" s="29"/>
      <c r="Z13" s="1" t="s">
        <v>78</v>
      </c>
      <c r="AA13" s="1">
        <v>5</v>
      </c>
      <c r="AB13" s="1"/>
      <c r="AC13" s="30" t="s">
        <v>390</v>
      </c>
      <c r="AD13" s="30">
        <v>0</v>
      </c>
      <c r="AG13" s="30">
        <v>0</v>
      </c>
    </row>
    <row r="14" spans="1:34" ht="28.8" x14ac:dyDescent="0.3">
      <c r="K14" s="30" t="s">
        <v>71</v>
      </c>
      <c r="L14" s="30">
        <v>5</v>
      </c>
      <c r="M14" s="30"/>
      <c r="N14" s="30" t="s">
        <v>121</v>
      </c>
      <c r="O14" s="30">
        <v>0</v>
      </c>
      <c r="P14" s="30"/>
      <c r="Q14" s="30" t="s">
        <v>94</v>
      </c>
      <c r="R14" s="30">
        <v>0</v>
      </c>
      <c r="T14" s="30" t="s">
        <v>72</v>
      </c>
      <c r="U14" s="30">
        <v>5</v>
      </c>
      <c r="W14" s="29" t="s">
        <v>126</v>
      </c>
      <c r="X14" s="29">
        <v>0</v>
      </c>
      <c r="Y14" s="29"/>
      <c r="AC14" s="29" t="s">
        <v>72</v>
      </c>
      <c r="AD14" s="29">
        <v>5</v>
      </c>
      <c r="AE14" s="29"/>
      <c r="AG14" s="29">
        <v>5</v>
      </c>
      <c r="AH14" s="29"/>
    </row>
    <row r="15" spans="1:34" ht="28.8" x14ac:dyDescent="0.3">
      <c r="N15" s="30" t="s">
        <v>122</v>
      </c>
      <c r="O15" s="30">
        <v>0</v>
      </c>
      <c r="P15" s="30"/>
      <c r="Q15" s="30" t="s">
        <v>72</v>
      </c>
      <c r="R15" s="30">
        <v>5</v>
      </c>
      <c r="W15" s="30" t="s">
        <v>390</v>
      </c>
      <c r="X15" s="30">
        <v>0</v>
      </c>
      <c r="AC15" s="30" t="s">
        <v>41</v>
      </c>
      <c r="AD15" s="30">
        <v>0</v>
      </c>
      <c r="AE15" s="30">
        <v>0</v>
      </c>
      <c r="AG15" s="30">
        <v>0</v>
      </c>
      <c r="AH15" s="30">
        <v>0</v>
      </c>
    </row>
    <row r="16" spans="1:34" ht="28.8" x14ac:dyDescent="0.3">
      <c r="N16" s="30" t="s">
        <v>72</v>
      </c>
      <c r="O16" s="30">
        <v>5</v>
      </c>
      <c r="P16" s="30"/>
      <c r="W16" s="29"/>
      <c r="X16" s="29"/>
      <c r="Y16" s="29"/>
    </row>
    <row r="17" spans="1:51" x14ac:dyDescent="0.3">
      <c r="W17" s="29"/>
      <c r="X17" s="29"/>
      <c r="Y17" s="29"/>
    </row>
    <row r="19" spans="1:51" x14ac:dyDescent="0.3">
      <c r="A19" t="s">
        <v>127</v>
      </c>
    </row>
    <row r="20" spans="1:51" x14ac:dyDescent="0.3">
      <c r="B20" s="5" t="s">
        <v>1</v>
      </c>
      <c r="C20" s="5">
        <v>5</v>
      </c>
      <c r="E20" s="5" t="s">
        <v>234</v>
      </c>
      <c r="F20" s="5">
        <v>1</v>
      </c>
      <c r="H20" s="1" t="s">
        <v>130</v>
      </c>
      <c r="I20" s="1">
        <v>1</v>
      </c>
      <c r="J20" s="1"/>
      <c r="K20" s="1" t="s">
        <v>133</v>
      </c>
      <c r="L20" s="1">
        <v>1</v>
      </c>
      <c r="M20" s="1"/>
    </row>
    <row r="21" spans="1:51" ht="28.8" x14ac:dyDescent="0.3">
      <c r="B21" s="5" t="s">
        <v>2</v>
      </c>
      <c r="C21" s="5">
        <v>0</v>
      </c>
      <c r="E21" s="5" t="s">
        <v>235</v>
      </c>
      <c r="F21" s="5">
        <v>2</v>
      </c>
      <c r="H21" s="1" t="s">
        <v>335</v>
      </c>
      <c r="I21" s="1">
        <v>1</v>
      </c>
      <c r="J21" s="1"/>
      <c r="K21" s="1" t="s">
        <v>134</v>
      </c>
      <c r="L21" s="1">
        <v>1</v>
      </c>
      <c r="M21" s="1"/>
    </row>
    <row r="22" spans="1:51" ht="43.2" x14ac:dyDescent="0.3">
      <c r="B22" s="5" t="s">
        <v>128</v>
      </c>
      <c r="C22" s="5">
        <v>0</v>
      </c>
      <c r="D22" s="5">
        <v>0</v>
      </c>
      <c r="E22" s="5" t="s">
        <v>236</v>
      </c>
      <c r="F22" s="5">
        <v>3</v>
      </c>
      <c r="H22" s="1" t="s">
        <v>132</v>
      </c>
      <c r="I22" s="1">
        <v>1</v>
      </c>
      <c r="J22" s="1"/>
      <c r="K22" s="1" t="s">
        <v>135</v>
      </c>
      <c r="L22" s="1">
        <v>1</v>
      </c>
      <c r="M22" s="1"/>
    </row>
    <row r="23" spans="1:51" ht="28.8" x14ac:dyDescent="0.3">
      <c r="E23" s="5" t="s">
        <v>237</v>
      </c>
      <c r="F23" s="5">
        <v>4</v>
      </c>
      <c r="H23" s="1" t="s">
        <v>336</v>
      </c>
      <c r="I23" s="1">
        <v>1</v>
      </c>
      <c r="J23" s="1"/>
      <c r="K23" s="1" t="s">
        <v>467</v>
      </c>
      <c r="L23" s="1">
        <v>1</v>
      </c>
      <c r="M23" s="1"/>
    </row>
    <row r="24" spans="1:51" ht="28.8" x14ac:dyDescent="0.3">
      <c r="E24" s="5" t="s">
        <v>238</v>
      </c>
      <c r="F24" s="5">
        <v>5</v>
      </c>
      <c r="H24" s="1" t="s">
        <v>337</v>
      </c>
      <c r="I24" s="1">
        <v>1</v>
      </c>
      <c r="J24" s="1"/>
      <c r="K24" s="1" t="s">
        <v>462</v>
      </c>
      <c r="L24" s="1">
        <v>1</v>
      </c>
      <c r="M24" s="1"/>
    </row>
    <row r="25" spans="1:51" x14ac:dyDescent="0.3">
      <c r="E25" s="5" t="s">
        <v>128</v>
      </c>
      <c r="F25" s="5">
        <v>0</v>
      </c>
      <c r="G25" s="5">
        <v>0</v>
      </c>
      <c r="H25" s="1" t="s">
        <v>131</v>
      </c>
      <c r="I25" s="1">
        <v>0</v>
      </c>
      <c r="J25" s="1">
        <v>0</v>
      </c>
      <c r="K25" s="1" t="s">
        <v>131</v>
      </c>
      <c r="L25" s="1">
        <v>0</v>
      </c>
      <c r="M25" s="1">
        <v>0</v>
      </c>
    </row>
    <row r="26" spans="1:51" x14ac:dyDescent="0.3">
      <c r="H26" s="1" t="s">
        <v>99</v>
      </c>
      <c r="I26" s="1">
        <v>0</v>
      </c>
      <c r="J26" s="1">
        <v>0</v>
      </c>
      <c r="K26" s="1" t="s">
        <v>41</v>
      </c>
      <c r="L26" s="1">
        <v>0</v>
      </c>
      <c r="M26" s="1">
        <v>0</v>
      </c>
    </row>
    <row r="27" spans="1:51" x14ac:dyDescent="0.3">
      <c r="K27" s="1"/>
      <c r="L27" s="1"/>
      <c r="M27" s="1"/>
      <c r="N27" s="1"/>
      <c r="O27" s="1"/>
      <c r="P27" s="1"/>
    </row>
    <row r="28" spans="1:51" x14ac:dyDescent="0.3">
      <c r="K28" s="1"/>
      <c r="L28" s="1"/>
      <c r="M28" s="1"/>
      <c r="N28" s="1"/>
      <c r="O28" s="1"/>
      <c r="P28" s="1"/>
    </row>
    <row r="30" spans="1:51" x14ac:dyDescent="0.3">
      <c r="A30" t="s">
        <v>80</v>
      </c>
    </row>
    <row r="31" spans="1:51" ht="28.8" x14ac:dyDescent="0.3">
      <c r="B31" s="5" t="s">
        <v>1</v>
      </c>
      <c r="C31" s="5">
        <v>5</v>
      </c>
      <c r="E31" s="5" t="s">
        <v>1</v>
      </c>
      <c r="F31" s="5">
        <v>5</v>
      </c>
      <c r="H31" s="5" t="s">
        <v>1</v>
      </c>
      <c r="I31" s="5">
        <v>5</v>
      </c>
      <c r="K31" s="5" t="s">
        <v>1</v>
      </c>
      <c r="L31" s="5">
        <v>5</v>
      </c>
      <c r="N31" s="5" t="s">
        <v>247</v>
      </c>
      <c r="O31" s="5">
        <v>4</v>
      </c>
      <c r="Q31" s="30" t="s">
        <v>251</v>
      </c>
      <c r="R31" s="30">
        <v>3</v>
      </c>
      <c r="T31" s="30" t="s">
        <v>234</v>
      </c>
      <c r="U31" s="30">
        <v>1</v>
      </c>
      <c r="W31" s="30" t="s">
        <v>348</v>
      </c>
      <c r="X31" s="30">
        <v>0</v>
      </c>
      <c r="Z31" s="30" t="s">
        <v>348</v>
      </c>
      <c r="AA31" s="30">
        <v>3</v>
      </c>
      <c r="AC31" s="30" t="s">
        <v>348</v>
      </c>
      <c r="AD31" s="30">
        <v>3</v>
      </c>
      <c r="AF31" s="30" t="s">
        <v>348</v>
      </c>
      <c r="AG31" s="30">
        <v>0</v>
      </c>
      <c r="AH31" s="30">
        <v>0</v>
      </c>
      <c r="AI31" s="30" t="s">
        <v>1</v>
      </c>
      <c r="AJ31" s="30">
        <v>5</v>
      </c>
      <c r="AL31" s="30" t="s">
        <v>353</v>
      </c>
      <c r="AM31" s="30">
        <v>4</v>
      </c>
      <c r="AN31" s="30"/>
      <c r="AO31" s="1" t="s">
        <v>465</v>
      </c>
      <c r="AP31" s="1">
        <v>1</v>
      </c>
      <c r="AQ31" s="1"/>
      <c r="AR31" s="1" t="s">
        <v>85</v>
      </c>
      <c r="AS31" s="1">
        <v>2</v>
      </c>
      <c r="AT31" s="1"/>
      <c r="AU31" s="30" t="s">
        <v>136</v>
      </c>
      <c r="AV31" s="30">
        <v>1</v>
      </c>
      <c r="AW31" s="30"/>
      <c r="AX31" s="1" t="s">
        <v>133</v>
      </c>
      <c r="AY31">
        <v>1</v>
      </c>
    </row>
    <row r="32" spans="1:51" ht="28.8" x14ac:dyDescent="0.3">
      <c r="B32" s="5" t="s">
        <v>2</v>
      </c>
      <c r="C32" s="5">
        <v>0</v>
      </c>
      <c r="E32" s="5" t="s">
        <v>240</v>
      </c>
      <c r="F32" s="5">
        <v>3</v>
      </c>
      <c r="H32" s="5" t="s">
        <v>2</v>
      </c>
      <c r="I32" s="5">
        <v>0</v>
      </c>
      <c r="K32" s="5" t="s">
        <v>2</v>
      </c>
      <c r="L32" s="5">
        <v>0</v>
      </c>
      <c r="N32" s="5" t="s">
        <v>249</v>
      </c>
      <c r="O32" s="5">
        <v>3</v>
      </c>
      <c r="Q32" s="5" t="s">
        <v>339</v>
      </c>
      <c r="R32" s="5">
        <v>5</v>
      </c>
      <c r="S32" s="5"/>
      <c r="T32" s="30" t="s">
        <v>235</v>
      </c>
      <c r="U32" s="30">
        <v>2</v>
      </c>
      <c r="W32" s="30" t="s">
        <v>464</v>
      </c>
      <c r="X32" s="30">
        <v>1</v>
      </c>
      <c r="Z32" s="30" t="s">
        <v>464</v>
      </c>
      <c r="AA32" s="30">
        <v>4</v>
      </c>
      <c r="AC32" s="30" t="s">
        <v>464</v>
      </c>
      <c r="AD32" s="30">
        <v>4</v>
      </c>
      <c r="AF32" s="30" t="s">
        <v>464</v>
      </c>
      <c r="AG32" s="30">
        <v>0</v>
      </c>
      <c r="AH32" s="30">
        <v>0</v>
      </c>
      <c r="AI32" s="30" t="s">
        <v>2</v>
      </c>
      <c r="AJ32" s="30">
        <v>0</v>
      </c>
      <c r="AL32" s="30" t="s">
        <v>258</v>
      </c>
      <c r="AM32" s="30">
        <v>5</v>
      </c>
      <c r="AN32" s="30"/>
      <c r="AO32" s="1" t="s">
        <v>263</v>
      </c>
      <c r="AP32" s="1">
        <v>1</v>
      </c>
      <c r="AQ32" s="1"/>
      <c r="AR32" s="1" t="s">
        <v>86</v>
      </c>
      <c r="AS32" s="1">
        <v>2</v>
      </c>
      <c r="AT32" s="1"/>
      <c r="AU32" s="30" t="s">
        <v>137</v>
      </c>
      <c r="AV32" s="30">
        <v>1</v>
      </c>
      <c r="AW32" s="30"/>
      <c r="AX32" s="1" t="s">
        <v>134</v>
      </c>
      <c r="AY32">
        <v>1</v>
      </c>
    </row>
    <row r="33" spans="1:52" ht="28.8" x14ac:dyDescent="0.3">
      <c r="E33" s="5" t="s">
        <v>241</v>
      </c>
      <c r="F33" s="5">
        <v>0</v>
      </c>
      <c r="H33" s="5" t="s">
        <v>242</v>
      </c>
      <c r="I33" s="5">
        <v>0</v>
      </c>
      <c r="J33" s="5">
        <v>0</v>
      </c>
      <c r="K33" s="5" t="s">
        <v>245</v>
      </c>
      <c r="L33" s="5">
        <v>0</v>
      </c>
      <c r="N33" s="5" t="s">
        <v>463</v>
      </c>
      <c r="O33" s="5">
        <v>5</v>
      </c>
      <c r="Q33" s="30" t="s">
        <v>346</v>
      </c>
      <c r="R33" s="30">
        <v>5</v>
      </c>
      <c r="T33" s="30" t="s">
        <v>236</v>
      </c>
      <c r="U33" s="30">
        <v>3</v>
      </c>
      <c r="W33" s="30" t="s">
        <v>349</v>
      </c>
      <c r="X33" s="30">
        <v>2</v>
      </c>
      <c r="Z33" s="30" t="s">
        <v>349</v>
      </c>
      <c r="AA33" s="30">
        <v>5</v>
      </c>
      <c r="AC33" s="30" t="s">
        <v>349</v>
      </c>
      <c r="AD33" s="30">
        <v>5</v>
      </c>
      <c r="AF33" s="30" t="s">
        <v>349</v>
      </c>
      <c r="AG33" s="30">
        <v>0</v>
      </c>
      <c r="AH33" s="30">
        <v>0</v>
      </c>
      <c r="AL33" s="30" t="s">
        <v>260</v>
      </c>
      <c r="AM33" s="30">
        <v>5</v>
      </c>
      <c r="AN33" s="30"/>
      <c r="AO33" s="1" t="s">
        <v>91</v>
      </c>
      <c r="AP33" s="1">
        <v>1</v>
      </c>
      <c r="AQ33" s="1"/>
      <c r="AR33" s="1" t="s">
        <v>87</v>
      </c>
      <c r="AS33" s="1">
        <v>3</v>
      </c>
      <c r="AT33" s="1"/>
      <c r="AU33" s="30" t="s">
        <v>267</v>
      </c>
      <c r="AV33" s="30">
        <v>1</v>
      </c>
      <c r="AW33" s="30"/>
      <c r="AX33" s="1" t="s">
        <v>135</v>
      </c>
      <c r="AY33">
        <v>1</v>
      </c>
    </row>
    <row r="34" spans="1:52" ht="100.8" x14ac:dyDescent="0.3">
      <c r="N34" s="5" t="s">
        <v>261</v>
      </c>
      <c r="O34" s="5">
        <v>2</v>
      </c>
      <c r="Q34" s="30" t="s">
        <v>347</v>
      </c>
      <c r="R34" s="30">
        <v>2</v>
      </c>
      <c r="T34" s="30" t="s">
        <v>252</v>
      </c>
      <c r="U34" s="30">
        <v>4</v>
      </c>
      <c r="W34" s="30" t="s">
        <v>350</v>
      </c>
      <c r="X34" s="30">
        <v>3</v>
      </c>
      <c r="Z34" s="30" t="s">
        <v>350</v>
      </c>
      <c r="AA34" s="30">
        <v>2</v>
      </c>
      <c r="AC34" s="30" t="s">
        <v>350</v>
      </c>
      <c r="AD34" s="30">
        <v>2</v>
      </c>
      <c r="AF34" s="30" t="s">
        <v>350</v>
      </c>
      <c r="AG34" s="30">
        <v>0</v>
      </c>
      <c r="AH34" s="30">
        <v>0</v>
      </c>
      <c r="AL34" s="5" t="s">
        <v>15</v>
      </c>
      <c r="AM34" s="5">
        <v>0</v>
      </c>
      <c r="AN34" s="5">
        <v>0</v>
      </c>
      <c r="AO34" s="1" t="s">
        <v>92</v>
      </c>
      <c r="AP34" s="1">
        <v>1</v>
      </c>
      <c r="AQ34" s="1"/>
      <c r="AR34" s="1" t="s">
        <v>88</v>
      </c>
      <c r="AS34" s="1">
        <v>5</v>
      </c>
      <c r="AT34" s="1"/>
      <c r="AU34" s="30" t="s">
        <v>466</v>
      </c>
      <c r="AV34" s="30">
        <v>1</v>
      </c>
      <c r="AW34" s="30"/>
      <c r="AX34" s="1" t="s">
        <v>467</v>
      </c>
      <c r="AY34">
        <v>1</v>
      </c>
    </row>
    <row r="35" spans="1:52" ht="100.8" x14ac:dyDescent="0.3">
      <c r="N35" s="5" t="s">
        <v>41</v>
      </c>
      <c r="O35" s="5">
        <v>0</v>
      </c>
      <c r="P35" s="5">
        <v>0</v>
      </c>
      <c r="Q35" s="30" t="s">
        <v>338</v>
      </c>
      <c r="R35" s="30">
        <v>3</v>
      </c>
      <c r="T35" s="30" t="s">
        <v>219</v>
      </c>
      <c r="U35" s="30">
        <v>5</v>
      </c>
      <c r="W35" s="30" t="s">
        <v>351</v>
      </c>
      <c r="X35" s="30">
        <v>4</v>
      </c>
      <c r="Z35" s="30" t="s">
        <v>351</v>
      </c>
      <c r="AA35" s="30">
        <v>1</v>
      </c>
      <c r="AC35" s="30" t="s">
        <v>351</v>
      </c>
      <c r="AD35" s="30">
        <v>1</v>
      </c>
      <c r="AF35" s="30" t="s">
        <v>351</v>
      </c>
      <c r="AG35" s="30">
        <v>0</v>
      </c>
      <c r="AH35" s="30">
        <v>0</v>
      </c>
      <c r="AN35" s="30"/>
      <c r="AO35" s="1" t="s">
        <v>15</v>
      </c>
      <c r="AP35" s="1">
        <v>0</v>
      </c>
      <c r="AQ35" s="1">
        <v>0</v>
      </c>
      <c r="AR35" s="1" t="s">
        <v>89</v>
      </c>
      <c r="AS35" s="1">
        <v>5</v>
      </c>
      <c r="AT35" s="1"/>
      <c r="AU35" s="30" t="s">
        <v>268</v>
      </c>
      <c r="AV35" s="30">
        <v>1</v>
      </c>
      <c r="AW35" s="30"/>
      <c r="AX35" s="1" t="s">
        <v>462</v>
      </c>
      <c r="AY35">
        <v>1</v>
      </c>
    </row>
    <row r="36" spans="1:52" ht="28.8" x14ac:dyDescent="0.3">
      <c r="N36" s="5" t="s">
        <v>245</v>
      </c>
      <c r="O36" s="5">
        <v>0</v>
      </c>
      <c r="Q36" s="5" t="s">
        <v>41</v>
      </c>
      <c r="R36" s="5">
        <v>0</v>
      </c>
      <c r="S36" s="5">
        <v>0</v>
      </c>
      <c r="T36" s="5" t="s">
        <v>245</v>
      </c>
      <c r="U36" s="5">
        <v>0</v>
      </c>
      <c r="V36" s="5"/>
      <c r="W36" s="30" t="s">
        <v>352</v>
      </c>
      <c r="X36" s="30">
        <v>5</v>
      </c>
      <c r="Z36" s="30" t="s">
        <v>352</v>
      </c>
      <c r="AA36" s="30">
        <v>0</v>
      </c>
      <c r="AC36" s="30" t="s">
        <v>352</v>
      </c>
      <c r="AD36" s="30">
        <v>0</v>
      </c>
      <c r="AF36" s="30" t="s">
        <v>352</v>
      </c>
      <c r="AG36" s="30">
        <v>0</v>
      </c>
      <c r="AH36" s="30">
        <v>0</v>
      </c>
      <c r="AN36" s="30"/>
      <c r="AO36" s="1" t="s">
        <v>90</v>
      </c>
      <c r="AP36" s="1">
        <v>0</v>
      </c>
      <c r="AQ36" s="1">
        <v>0</v>
      </c>
      <c r="AR36" s="1" t="s">
        <v>15</v>
      </c>
      <c r="AS36" s="1">
        <v>0</v>
      </c>
      <c r="AT36" s="1">
        <v>0</v>
      </c>
      <c r="AU36" s="30" t="s">
        <v>269</v>
      </c>
      <c r="AV36" s="30">
        <v>0</v>
      </c>
      <c r="AW36" s="30"/>
      <c r="AX36" s="1" t="s">
        <v>41</v>
      </c>
      <c r="AY36">
        <v>0</v>
      </c>
      <c r="AZ36">
        <v>0</v>
      </c>
    </row>
    <row r="37" spans="1:52" x14ac:dyDescent="0.3">
      <c r="Q37" s="5" t="s">
        <v>245</v>
      </c>
      <c r="R37" s="5">
        <v>0</v>
      </c>
      <c r="S37" s="5"/>
      <c r="AN37" s="30"/>
      <c r="AO37" s="30"/>
      <c r="AP37" s="30"/>
      <c r="AQ37" s="30"/>
      <c r="AR37" s="1" t="s">
        <v>90</v>
      </c>
      <c r="AS37" s="1">
        <v>0</v>
      </c>
      <c r="AT37" s="1">
        <v>0</v>
      </c>
      <c r="AU37" s="30" t="s">
        <v>41</v>
      </c>
      <c r="AV37" s="30">
        <v>0</v>
      </c>
      <c r="AW37" s="30">
        <v>0</v>
      </c>
      <c r="AX37" s="1" t="s">
        <v>90</v>
      </c>
      <c r="AY37">
        <v>0</v>
      </c>
      <c r="AZ37">
        <v>0</v>
      </c>
    </row>
    <row r="38" spans="1:52" ht="28.8" x14ac:dyDescent="0.3">
      <c r="AN38" s="30"/>
      <c r="AO38" s="30"/>
      <c r="AP38" s="30"/>
      <c r="AQ38" s="30"/>
      <c r="AR38" s="30"/>
      <c r="AS38" s="30"/>
      <c r="AT38" s="30"/>
      <c r="AU38" s="30"/>
      <c r="AV38" s="30"/>
      <c r="AW38" s="30"/>
      <c r="AX38" s="30" t="s">
        <v>269</v>
      </c>
      <c r="AY38">
        <v>0</v>
      </c>
    </row>
    <row r="39" spans="1:52" x14ac:dyDescent="0.3">
      <c r="A39" t="s">
        <v>0</v>
      </c>
    </row>
    <row r="40" spans="1:52" ht="44.4" customHeight="1" x14ac:dyDescent="0.3">
      <c r="B40" s="5" t="s">
        <v>1</v>
      </c>
      <c r="C40" s="5">
        <v>5</v>
      </c>
      <c r="E40" s="5" t="s">
        <v>1</v>
      </c>
      <c r="F40" s="5">
        <v>5</v>
      </c>
      <c r="H40" s="1" t="s">
        <v>139</v>
      </c>
      <c r="I40" s="1">
        <v>0</v>
      </c>
      <c r="J40" s="1"/>
      <c r="K40" s="1" t="s">
        <v>273</v>
      </c>
      <c r="L40" s="1">
        <v>5</v>
      </c>
      <c r="M40" s="1"/>
      <c r="N40" s="1" t="s">
        <v>275</v>
      </c>
      <c r="O40" s="1">
        <v>5</v>
      </c>
      <c r="P40" s="1"/>
      <c r="Q40" s="1" t="s">
        <v>341</v>
      </c>
      <c r="R40" s="1">
        <v>5</v>
      </c>
      <c r="S40" s="1"/>
    </row>
    <row r="41" spans="1:52" ht="43.2" x14ac:dyDescent="0.3">
      <c r="B41" s="5" t="s">
        <v>2</v>
      </c>
      <c r="C41" s="5">
        <v>0</v>
      </c>
      <c r="E41" s="5" t="s">
        <v>2</v>
      </c>
      <c r="F41" s="5">
        <v>0</v>
      </c>
      <c r="H41" s="1" t="s">
        <v>340</v>
      </c>
      <c r="I41" s="1">
        <v>0</v>
      </c>
      <c r="J41" s="1"/>
      <c r="K41" s="1" t="s">
        <v>274</v>
      </c>
      <c r="L41" s="1">
        <v>2</v>
      </c>
      <c r="M41" s="1"/>
      <c r="N41" s="1" t="s">
        <v>276</v>
      </c>
      <c r="O41" s="1">
        <v>2</v>
      </c>
      <c r="P41" s="1"/>
      <c r="Q41" s="1" t="s">
        <v>6</v>
      </c>
      <c r="R41" s="1">
        <v>2</v>
      </c>
      <c r="S41" s="1"/>
    </row>
    <row r="42" spans="1:52" ht="57.6" x14ac:dyDescent="0.3">
      <c r="E42" s="5" t="s">
        <v>3</v>
      </c>
      <c r="F42" s="5">
        <v>2</v>
      </c>
      <c r="H42" s="1" t="s">
        <v>468</v>
      </c>
      <c r="I42" s="1">
        <v>5</v>
      </c>
      <c r="J42" s="1"/>
      <c r="K42" s="5" t="s">
        <v>278</v>
      </c>
      <c r="L42" s="5">
        <v>0</v>
      </c>
      <c r="N42" s="5" t="s">
        <v>277</v>
      </c>
      <c r="O42" s="5">
        <v>0</v>
      </c>
      <c r="Q42" s="1" t="s">
        <v>5</v>
      </c>
      <c r="R42" s="1">
        <v>0</v>
      </c>
      <c r="S42" s="1"/>
    </row>
    <row r="43" spans="1:52" x14ac:dyDescent="0.3">
      <c r="H43" s="1" t="s">
        <v>41</v>
      </c>
      <c r="I43" s="1">
        <v>0</v>
      </c>
      <c r="J43" s="1">
        <v>0</v>
      </c>
      <c r="K43" s="5" t="s">
        <v>41</v>
      </c>
      <c r="L43" s="5">
        <v>0</v>
      </c>
      <c r="M43" s="5">
        <v>0</v>
      </c>
      <c r="N43" s="5" t="s">
        <v>278</v>
      </c>
      <c r="O43" s="5">
        <v>0</v>
      </c>
      <c r="Q43" s="1" t="s">
        <v>41</v>
      </c>
      <c r="R43" s="1">
        <v>0</v>
      </c>
      <c r="S43" s="1">
        <v>0</v>
      </c>
    </row>
    <row r="44" spans="1:52" x14ac:dyDescent="0.3">
      <c r="I44" s="1"/>
      <c r="J44" s="1"/>
      <c r="N44" s="5" t="s">
        <v>41</v>
      </c>
      <c r="O44" s="5">
        <v>0</v>
      </c>
      <c r="P44" s="5">
        <v>0</v>
      </c>
    </row>
    <row r="46" spans="1:52" x14ac:dyDescent="0.3">
      <c r="A46" t="s">
        <v>7</v>
      </c>
    </row>
    <row r="47" spans="1:52" x14ac:dyDescent="0.3">
      <c r="B47" s="5" t="s">
        <v>1</v>
      </c>
      <c r="C47" s="5">
        <v>5</v>
      </c>
      <c r="E47" s="1" t="s">
        <v>8</v>
      </c>
      <c r="F47" s="1">
        <v>5</v>
      </c>
      <c r="G47" s="1"/>
    </row>
    <row r="48" spans="1:52" x14ac:dyDescent="0.3">
      <c r="B48" s="5" t="s">
        <v>2</v>
      </c>
      <c r="C48" s="5">
        <v>0</v>
      </c>
      <c r="E48" s="1" t="s">
        <v>143</v>
      </c>
      <c r="F48" s="1">
        <v>4</v>
      </c>
      <c r="G48" s="1"/>
    </row>
    <row r="49" spans="1:28" x14ac:dyDescent="0.3">
      <c r="E49" s="1" t="s">
        <v>9</v>
      </c>
      <c r="F49" s="1">
        <v>3</v>
      </c>
      <c r="G49" s="1"/>
    </row>
    <row r="50" spans="1:28" x14ac:dyDescent="0.3">
      <c r="E50" s="1" t="s">
        <v>10</v>
      </c>
      <c r="F50" s="1">
        <v>2</v>
      </c>
      <c r="G50" s="1"/>
    </row>
    <row r="51" spans="1:28" x14ac:dyDescent="0.3">
      <c r="E51" s="1" t="s">
        <v>17</v>
      </c>
      <c r="F51" s="1">
        <v>1</v>
      </c>
      <c r="G51" s="1"/>
    </row>
    <row r="52" spans="1:28" x14ac:dyDescent="0.3">
      <c r="E52" s="1" t="s">
        <v>11</v>
      </c>
      <c r="F52" s="1">
        <v>0</v>
      </c>
      <c r="G52" s="1"/>
    </row>
    <row r="54" spans="1:28" x14ac:dyDescent="0.3">
      <c r="A54" t="s">
        <v>12</v>
      </c>
    </row>
    <row r="55" spans="1:28" ht="28.8" x14ac:dyDescent="0.3">
      <c r="B55" s="5" t="s">
        <v>1</v>
      </c>
      <c r="C55" s="5">
        <v>5</v>
      </c>
      <c r="E55" s="30" t="s">
        <v>234</v>
      </c>
      <c r="F55" s="30">
        <v>1</v>
      </c>
      <c r="G55" s="30"/>
      <c r="H55" s="1" t="s">
        <v>284</v>
      </c>
      <c r="I55" s="1">
        <v>5</v>
      </c>
      <c r="J55" s="1"/>
      <c r="K55" s="1" t="s">
        <v>154</v>
      </c>
      <c r="L55" s="1">
        <v>5</v>
      </c>
      <c r="M55" s="1"/>
      <c r="N55" s="1" t="s">
        <v>481</v>
      </c>
      <c r="O55" s="1">
        <v>5</v>
      </c>
      <c r="P55" s="1"/>
      <c r="Q55" s="30" t="s">
        <v>1</v>
      </c>
      <c r="R55" s="30">
        <v>5</v>
      </c>
      <c r="T55" s="30" t="s">
        <v>1</v>
      </c>
      <c r="U55" s="30">
        <v>5</v>
      </c>
      <c r="W55" s="30" t="s">
        <v>95</v>
      </c>
      <c r="X55" s="30">
        <v>5</v>
      </c>
      <c r="Z55" s="1" t="s">
        <v>174</v>
      </c>
      <c r="AA55" s="1">
        <v>5</v>
      </c>
      <c r="AB55" s="1"/>
    </row>
    <row r="56" spans="1:28" ht="28.8" x14ac:dyDescent="0.3">
      <c r="B56" s="5" t="s">
        <v>2</v>
      </c>
      <c r="C56" s="5">
        <v>0</v>
      </c>
      <c r="E56" s="30" t="s">
        <v>235</v>
      </c>
      <c r="F56" s="30">
        <v>2</v>
      </c>
      <c r="G56" s="30"/>
      <c r="H56" s="1" t="s">
        <v>150</v>
      </c>
      <c r="I56" s="1">
        <v>2</v>
      </c>
      <c r="J56" s="1"/>
      <c r="K56" s="1" t="s">
        <v>155</v>
      </c>
      <c r="L56" s="1">
        <v>4</v>
      </c>
      <c r="M56" s="1"/>
      <c r="N56" s="1" t="s">
        <v>482</v>
      </c>
      <c r="O56" s="1">
        <v>3</v>
      </c>
      <c r="P56" s="1"/>
      <c r="Q56" s="30" t="s">
        <v>2</v>
      </c>
      <c r="R56" s="30">
        <v>0</v>
      </c>
      <c r="T56" s="30" t="s">
        <v>2</v>
      </c>
      <c r="U56" s="30">
        <v>0</v>
      </c>
      <c r="W56" s="1" t="s">
        <v>16</v>
      </c>
      <c r="X56" s="1">
        <v>4</v>
      </c>
      <c r="Y56" s="1"/>
      <c r="Z56" s="1" t="s">
        <v>175</v>
      </c>
      <c r="AA56" s="1">
        <v>4</v>
      </c>
      <c r="AB56" s="1"/>
    </row>
    <row r="57" spans="1:28" ht="43.2" x14ac:dyDescent="0.3">
      <c r="E57" s="30" t="s">
        <v>236</v>
      </c>
      <c r="F57" s="30">
        <v>3</v>
      </c>
      <c r="G57" s="30"/>
      <c r="H57" s="1" t="s">
        <v>151</v>
      </c>
      <c r="I57" s="1">
        <v>3</v>
      </c>
      <c r="J57" s="1"/>
      <c r="K57" s="1" t="s">
        <v>391</v>
      </c>
      <c r="L57" s="1">
        <v>4</v>
      </c>
      <c r="M57" s="1"/>
      <c r="N57" s="1" t="s">
        <v>480</v>
      </c>
      <c r="O57" s="1">
        <v>0</v>
      </c>
      <c r="P57" s="1"/>
      <c r="Q57" s="30" t="s">
        <v>469</v>
      </c>
      <c r="R57" s="30">
        <v>2</v>
      </c>
      <c r="T57" s="30" t="s">
        <v>13</v>
      </c>
      <c r="U57" s="30">
        <v>2</v>
      </c>
      <c r="W57" s="1" t="s">
        <v>17</v>
      </c>
      <c r="X57" s="1">
        <v>3</v>
      </c>
      <c r="Y57" s="1"/>
      <c r="Z57" s="1" t="s">
        <v>171</v>
      </c>
      <c r="AA57" s="1">
        <v>3</v>
      </c>
      <c r="AB57" s="1"/>
    </row>
    <row r="58" spans="1:28" ht="43.2" x14ac:dyDescent="0.3">
      <c r="E58" s="30" t="s">
        <v>252</v>
      </c>
      <c r="F58" s="30">
        <v>4</v>
      </c>
      <c r="G58" s="30"/>
      <c r="H58" s="1" t="s">
        <v>152</v>
      </c>
      <c r="I58" s="1">
        <v>0</v>
      </c>
      <c r="J58" s="1"/>
      <c r="K58" s="1" t="s">
        <v>156</v>
      </c>
      <c r="L58" s="1">
        <v>3</v>
      </c>
      <c r="M58" s="1"/>
      <c r="N58" s="1" t="s">
        <v>41</v>
      </c>
      <c r="O58" s="1">
        <v>0</v>
      </c>
      <c r="P58" s="1">
        <v>0</v>
      </c>
      <c r="W58" s="1" t="s">
        <v>18</v>
      </c>
      <c r="X58" s="1">
        <v>2</v>
      </c>
      <c r="Y58" s="1"/>
      <c r="Z58" s="1" t="s">
        <v>176</v>
      </c>
      <c r="AA58" s="1">
        <v>0</v>
      </c>
      <c r="AB58" s="1"/>
    </row>
    <row r="59" spans="1:28" x14ac:dyDescent="0.3">
      <c r="E59" s="30" t="s">
        <v>219</v>
      </c>
      <c r="F59" s="30">
        <v>5</v>
      </c>
      <c r="G59" s="30"/>
      <c r="H59" s="1" t="s">
        <v>99</v>
      </c>
      <c r="I59" s="1">
        <v>0</v>
      </c>
      <c r="J59" s="1">
        <v>0</v>
      </c>
      <c r="K59" s="1" t="s">
        <v>157</v>
      </c>
      <c r="L59" s="1">
        <v>0</v>
      </c>
      <c r="M59" s="1"/>
      <c r="N59" s="1" t="s">
        <v>167</v>
      </c>
      <c r="O59" s="1">
        <v>0</v>
      </c>
      <c r="P59" s="1"/>
      <c r="W59" s="1" t="s">
        <v>484</v>
      </c>
      <c r="X59" s="1">
        <v>1</v>
      </c>
      <c r="Y59" s="1"/>
      <c r="Z59" s="1" t="s">
        <v>172</v>
      </c>
      <c r="AA59" s="1">
        <v>0</v>
      </c>
      <c r="AB59" s="1">
        <v>0</v>
      </c>
    </row>
    <row r="60" spans="1:28" x14ac:dyDescent="0.3">
      <c r="E60" s="5" t="s">
        <v>283</v>
      </c>
      <c r="F60" s="5">
        <v>0</v>
      </c>
      <c r="K60" s="1" t="s">
        <v>158</v>
      </c>
      <c r="L60" s="1">
        <v>0</v>
      </c>
      <c r="M60" s="1"/>
      <c r="W60" s="1" t="s">
        <v>19</v>
      </c>
      <c r="X60" s="1">
        <v>1</v>
      </c>
      <c r="Y60" s="1"/>
    </row>
    <row r="61" spans="1:28" x14ac:dyDescent="0.3">
      <c r="K61" s="1" t="s">
        <v>159</v>
      </c>
      <c r="L61" s="1">
        <v>0</v>
      </c>
      <c r="M61" s="1"/>
      <c r="W61" s="1" t="s">
        <v>15</v>
      </c>
      <c r="X61" s="1">
        <v>0</v>
      </c>
      <c r="Y61" s="1">
        <v>0</v>
      </c>
    </row>
    <row r="62" spans="1:28" ht="28.8" x14ac:dyDescent="0.3">
      <c r="K62" s="1" t="s">
        <v>99</v>
      </c>
      <c r="L62" s="1">
        <v>0</v>
      </c>
      <c r="M62" s="1">
        <v>0</v>
      </c>
      <c r="W62" s="1" t="s">
        <v>170</v>
      </c>
      <c r="X62" s="1">
        <v>0</v>
      </c>
      <c r="Y62" s="1"/>
    </row>
    <row r="64" spans="1:28" x14ac:dyDescent="0.3">
      <c r="A64" s="5" t="s">
        <v>31</v>
      </c>
    </row>
    <row r="65" spans="1:52" x14ac:dyDescent="0.3">
      <c r="B65" s="1" t="s">
        <v>32</v>
      </c>
      <c r="C65" s="1">
        <v>5</v>
      </c>
      <c r="D65" s="1"/>
      <c r="E65" s="30" t="s">
        <v>1</v>
      </c>
      <c r="F65" s="30">
        <v>5</v>
      </c>
      <c r="G65" s="30"/>
      <c r="H65" s="30" t="s">
        <v>1</v>
      </c>
      <c r="I65" s="30">
        <v>3</v>
      </c>
      <c r="J65" s="30"/>
      <c r="K65" s="30" t="s">
        <v>1</v>
      </c>
      <c r="L65" s="30">
        <v>2</v>
      </c>
      <c r="M65" s="30"/>
      <c r="N65" s="30" t="s">
        <v>1</v>
      </c>
      <c r="O65" s="30">
        <v>5</v>
      </c>
      <c r="P65" s="30"/>
    </row>
    <row r="66" spans="1:52" x14ac:dyDescent="0.3">
      <c r="B66" s="1" t="s">
        <v>33</v>
      </c>
      <c r="C66" s="1">
        <v>5</v>
      </c>
      <c r="D66" s="1"/>
      <c r="E66" s="30" t="s">
        <v>2</v>
      </c>
      <c r="F66" s="30">
        <v>0</v>
      </c>
      <c r="G66" s="30"/>
      <c r="H66" s="30" t="s">
        <v>478</v>
      </c>
      <c r="I66" s="30">
        <v>2</v>
      </c>
      <c r="J66" s="30"/>
      <c r="K66" s="30" t="s">
        <v>2</v>
      </c>
      <c r="L66" s="30">
        <v>3</v>
      </c>
      <c r="M66" s="30"/>
      <c r="N66" s="30" t="s">
        <v>2</v>
      </c>
      <c r="O66" s="30">
        <v>0</v>
      </c>
      <c r="P66" s="30"/>
    </row>
    <row r="67" spans="1:52" ht="28.8" x14ac:dyDescent="0.3">
      <c r="B67" s="1" t="s">
        <v>186</v>
      </c>
      <c r="C67" s="1">
        <v>3</v>
      </c>
      <c r="D67" s="1"/>
      <c r="E67" s="30" t="s">
        <v>299</v>
      </c>
      <c r="F67" s="30">
        <v>3</v>
      </c>
      <c r="G67" s="30"/>
      <c r="H67" s="30" t="s">
        <v>300</v>
      </c>
      <c r="I67" s="30">
        <v>5</v>
      </c>
      <c r="J67" s="30"/>
      <c r="K67" s="30" t="s">
        <v>13</v>
      </c>
      <c r="L67" s="30">
        <v>5</v>
      </c>
      <c r="M67" s="30"/>
    </row>
    <row r="68" spans="1:52" x14ac:dyDescent="0.3">
      <c r="B68" s="1" t="s">
        <v>35</v>
      </c>
      <c r="C68" s="1">
        <v>3</v>
      </c>
      <c r="D68" s="1"/>
      <c r="E68" s="30" t="s">
        <v>298</v>
      </c>
      <c r="F68" s="30">
        <v>0</v>
      </c>
      <c r="G68" s="30"/>
      <c r="H68" s="30" t="s">
        <v>298</v>
      </c>
      <c r="I68" s="5">
        <v>0</v>
      </c>
    </row>
    <row r="69" spans="1:52" x14ac:dyDescent="0.3">
      <c r="B69" s="1" t="s">
        <v>34</v>
      </c>
      <c r="C69" s="1">
        <v>2</v>
      </c>
      <c r="D69" s="1"/>
    </row>
    <row r="70" spans="1:52" x14ac:dyDescent="0.3">
      <c r="B70" s="1" t="s">
        <v>36</v>
      </c>
      <c r="C70" s="1">
        <v>2</v>
      </c>
      <c r="D70" s="1"/>
    </row>
    <row r="71" spans="1:52" x14ac:dyDescent="0.3">
      <c r="B71" s="1" t="s">
        <v>37</v>
      </c>
      <c r="C71" s="1">
        <v>0</v>
      </c>
      <c r="D71" s="1">
        <v>0</v>
      </c>
    </row>
    <row r="72" spans="1:52" x14ac:dyDescent="0.3">
      <c r="B72" s="1" t="s">
        <v>38</v>
      </c>
      <c r="C72" s="1">
        <v>1</v>
      </c>
      <c r="D72" s="1"/>
    </row>
    <row r="73" spans="1:52" x14ac:dyDescent="0.3">
      <c r="B73" s="1" t="s">
        <v>41</v>
      </c>
      <c r="C73" s="1">
        <v>0</v>
      </c>
      <c r="D73" s="1">
        <v>0</v>
      </c>
    </row>
    <row r="74" spans="1:52" x14ac:dyDescent="0.3">
      <c r="B74" s="1" t="s">
        <v>297</v>
      </c>
      <c r="C74" s="1">
        <v>0</v>
      </c>
      <c r="D74" s="1"/>
    </row>
    <row r="75" spans="1:52" x14ac:dyDescent="0.3">
      <c r="B75" s="1" t="s">
        <v>90</v>
      </c>
      <c r="C75" s="1">
        <v>0</v>
      </c>
      <c r="D75" s="1">
        <v>0</v>
      </c>
    </row>
    <row r="77" spans="1:52" x14ac:dyDescent="0.3">
      <c r="N77" s="1"/>
      <c r="O77" s="1"/>
      <c r="P77" s="1"/>
      <c r="Q77" s="1"/>
      <c r="R77" s="1"/>
      <c r="S77" s="1"/>
      <c r="T77" s="1"/>
      <c r="U77" s="1"/>
      <c r="V77" s="1"/>
      <c r="W77" s="1"/>
      <c r="X77" s="1"/>
      <c r="Y77" s="1"/>
      <c r="Z77" s="1"/>
      <c r="AA77" s="1"/>
      <c r="AB77" s="1"/>
      <c r="AC77" s="1"/>
      <c r="AD77" s="1"/>
      <c r="AE77" s="1"/>
      <c r="AF77" s="1"/>
      <c r="AG77" s="1"/>
      <c r="AH77" s="1"/>
      <c r="AI77" s="1"/>
      <c r="AJ77" s="1"/>
      <c r="AK77" s="1"/>
      <c r="AL77" s="1"/>
      <c r="AM77" s="1"/>
      <c r="AN77" s="1"/>
      <c r="AO77" s="1"/>
      <c r="AP77" s="1"/>
      <c r="AQ77" s="1"/>
      <c r="AR77" s="1"/>
      <c r="AS77" s="1"/>
      <c r="AT77" s="1"/>
      <c r="AU77" s="1"/>
      <c r="AV77" s="1"/>
      <c r="AW77" s="1"/>
      <c r="AX77" s="1"/>
      <c r="AY77" s="1"/>
      <c r="AZ77" s="1"/>
    </row>
    <row r="78" spans="1:52" x14ac:dyDescent="0.3">
      <c r="A78" s="1" t="s">
        <v>20</v>
      </c>
      <c r="B78" s="1"/>
      <c r="C78" s="1"/>
      <c r="D78" s="1"/>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G78" s="1"/>
      <c r="AH78" s="1"/>
      <c r="AI78" s="1"/>
      <c r="AJ78" s="1"/>
      <c r="AK78" s="1"/>
      <c r="AL78" s="1"/>
      <c r="AM78" s="1"/>
      <c r="AN78" s="1"/>
      <c r="AO78" s="1"/>
      <c r="AP78" s="1"/>
      <c r="AQ78" s="1"/>
      <c r="AR78" s="1"/>
      <c r="AS78" s="1"/>
      <c r="AT78" s="1"/>
      <c r="AU78" s="1"/>
      <c r="AV78" s="1"/>
      <c r="AW78" s="1"/>
      <c r="AX78" s="1"/>
      <c r="AY78" s="1"/>
      <c r="AZ78" s="1"/>
    </row>
    <row r="79" spans="1:52" ht="43.2" x14ac:dyDescent="0.3">
      <c r="A79" s="1"/>
      <c r="B79" s="1" t="s">
        <v>1</v>
      </c>
      <c r="C79" s="1">
        <v>5</v>
      </c>
      <c r="D79" s="1"/>
      <c r="E79" s="1" t="s">
        <v>1</v>
      </c>
      <c r="F79" s="1">
        <v>5</v>
      </c>
      <c r="G79" s="1"/>
      <c r="H79" s="1" t="s">
        <v>8</v>
      </c>
      <c r="I79" s="1">
        <v>5</v>
      </c>
      <c r="J79" s="1"/>
      <c r="K79" s="1" t="s">
        <v>1</v>
      </c>
      <c r="L79" s="1">
        <v>5</v>
      </c>
      <c r="M79" s="1"/>
      <c r="N79" s="1" t="s">
        <v>8</v>
      </c>
      <c r="O79" s="1">
        <v>5</v>
      </c>
      <c r="P79" s="1"/>
      <c r="Q79" s="1" t="s">
        <v>1</v>
      </c>
      <c r="R79" s="1">
        <v>5</v>
      </c>
      <c r="S79" s="1"/>
      <c r="T79" s="1" t="s">
        <v>77</v>
      </c>
      <c r="U79" s="1">
        <v>1</v>
      </c>
      <c r="V79" s="1"/>
      <c r="W79" s="1" t="s">
        <v>1</v>
      </c>
      <c r="X79" s="1">
        <v>5</v>
      </c>
      <c r="Y79" s="1"/>
      <c r="Z79" s="1" t="s">
        <v>470</v>
      </c>
      <c r="AA79" s="1">
        <v>5</v>
      </c>
      <c r="AB79" s="1"/>
      <c r="AC79" s="1" t="s">
        <v>472</v>
      </c>
      <c r="AD79" s="1">
        <v>5</v>
      </c>
      <c r="AE79" s="1"/>
      <c r="AI79" s="1"/>
      <c r="AK79" s="1"/>
      <c r="AM79" s="1"/>
      <c r="AO79" s="1"/>
      <c r="AQ79" s="1"/>
      <c r="AR79" s="1"/>
      <c r="AS79" s="1"/>
      <c r="AT79" s="1"/>
      <c r="AU79" s="1"/>
      <c r="AV79" s="1"/>
      <c r="AW79" s="1"/>
      <c r="AX79" s="1"/>
      <c r="AY79" s="1"/>
      <c r="AZ79" s="1"/>
    </row>
    <row r="80" spans="1:52" ht="28.8" x14ac:dyDescent="0.3">
      <c r="A80" s="1"/>
      <c r="B80" s="1" t="s">
        <v>2</v>
      </c>
      <c r="C80" s="1">
        <v>0</v>
      </c>
      <c r="D80" s="1"/>
      <c r="E80" s="1" t="s">
        <v>2</v>
      </c>
      <c r="F80" s="1">
        <v>0</v>
      </c>
      <c r="G80" s="1"/>
      <c r="H80" s="1" t="s">
        <v>21</v>
      </c>
      <c r="I80" s="1">
        <v>3</v>
      </c>
      <c r="J80" s="1"/>
      <c r="K80" s="1" t="s">
        <v>2</v>
      </c>
      <c r="L80" s="1">
        <v>0</v>
      </c>
      <c r="M80" s="1"/>
      <c r="N80" s="1" t="s">
        <v>21</v>
      </c>
      <c r="O80" s="1">
        <v>3</v>
      </c>
      <c r="P80" s="1"/>
      <c r="Q80" s="1" t="s">
        <v>2</v>
      </c>
      <c r="R80" s="1">
        <v>0</v>
      </c>
      <c r="S80" s="1"/>
      <c r="T80" s="1" t="s">
        <v>78</v>
      </c>
      <c r="U80" s="1">
        <v>5</v>
      </c>
      <c r="V80" s="1"/>
      <c r="W80" s="1" t="s">
        <v>2</v>
      </c>
      <c r="X80" s="1">
        <v>0</v>
      </c>
      <c r="Y80" s="1"/>
      <c r="Z80" s="1" t="s">
        <v>113</v>
      </c>
      <c r="AA80" s="1">
        <v>3</v>
      </c>
      <c r="AB80" s="1"/>
      <c r="AC80" s="1" t="s">
        <v>471</v>
      </c>
      <c r="AD80" s="1">
        <v>3</v>
      </c>
      <c r="AE80" s="1"/>
      <c r="AI80" s="1"/>
      <c r="AK80" s="1"/>
      <c r="AM80" s="1"/>
      <c r="AO80" s="1"/>
      <c r="AQ80" s="1"/>
      <c r="AR80" s="1"/>
      <c r="AS80" s="1"/>
      <c r="AT80" s="1"/>
      <c r="AU80" s="1"/>
      <c r="AV80" s="1"/>
      <c r="AW80" s="1"/>
      <c r="AX80" s="1"/>
      <c r="AY80" s="1"/>
      <c r="AZ80" s="1"/>
    </row>
    <row r="81" spans="1:52" ht="28.8" x14ac:dyDescent="0.3">
      <c r="A81" s="1"/>
      <c r="B81" s="1"/>
      <c r="C81" s="1"/>
      <c r="D81" s="1"/>
      <c r="E81" s="1" t="s">
        <v>41</v>
      </c>
      <c r="F81" s="1">
        <v>0</v>
      </c>
      <c r="G81" s="1">
        <v>0</v>
      </c>
      <c r="H81" s="1" t="s">
        <v>22</v>
      </c>
      <c r="I81" s="1">
        <v>2</v>
      </c>
      <c r="J81" s="1"/>
      <c r="K81" s="1" t="s">
        <v>179</v>
      </c>
      <c r="L81" s="1">
        <v>0</v>
      </c>
      <c r="M81" s="1">
        <v>0</v>
      </c>
      <c r="N81" s="1" t="s">
        <v>22</v>
      </c>
      <c r="O81" s="1">
        <v>2</v>
      </c>
      <c r="P81" s="1"/>
      <c r="Q81" s="1" t="s">
        <v>180</v>
      </c>
      <c r="R81" s="1">
        <v>2</v>
      </c>
      <c r="S81" s="1"/>
      <c r="T81" s="1" t="s">
        <v>79</v>
      </c>
      <c r="U81" s="1">
        <v>3</v>
      </c>
      <c r="V81" s="1"/>
      <c r="W81" s="1"/>
      <c r="X81" s="1"/>
      <c r="Y81" s="1"/>
      <c r="Z81" s="1" t="s">
        <v>183</v>
      </c>
      <c r="AA81" s="1">
        <v>0</v>
      </c>
      <c r="AB81" s="1"/>
      <c r="AC81" s="1" t="s">
        <v>184</v>
      </c>
      <c r="AD81" s="1">
        <v>0</v>
      </c>
      <c r="AE81" s="1"/>
      <c r="AI81" s="1"/>
      <c r="AK81" s="1"/>
      <c r="AL81" s="1"/>
      <c r="AM81" s="1"/>
      <c r="AO81" s="1"/>
      <c r="AQ81" s="1"/>
      <c r="AR81" s="1"/>
      <c r="AS81" s="1"/>
      <c r="AT81" s="1"/>
      <c r="AU81" s="1"/>
      <c r="AV81" s="1"/>
      <c r="AW81" s="1"/>
      <c r="AX81" s="1"/>
      <c r="AY81" s="1"/>
      <c r="AZ81" s="1"/>
    </row>
    <row r="82" spans="1:52" x14ac:dyDescent="0.3">
      <c r="A82" s="1"/>
      <c r="B82" s="1"/>
      <c r="C82" s="1"/>
      <c r="D82" s="1"/>
      <c r="E82" s="1"/>
      <c r="F82" s="1"/>
      <c r="G82" s="1"/>
      <c r="H82" s="1" t="s">
        <v>23</v>
      </c>
      <c r="I82" s="1">
        <v>0</v>
      </c>
      <c r="J82" s="1"/>
      <c r="K82" s="1"/>
      <c r="L82" s="1"/>
      <c r="M82" s="1"/>
      <c r="N82" s="1" t="s">
        <v>23</v>
      </c>
      <c r="O82" s="1">
        <v>0</v>
      </c>
      <c r="P82" s="1"/>
      <c r="Q82" s="1"/>
      <c r="R82" s="1"/>
      <c r="S82" s="1"/>
      <c r="T82" s="1"/>
      <c r="U82" s="1"/>
      <c r="V82" s="1"/>
      <c r="W82" s="1"/>
      <c r="X82" s="1"/>
      <c r="Y82" s="1"/>
      <c r="AC82" s="1" t="s">
        <v>185</v>
      </c>
      <c r="AD82" s="1">
        <v>0</v>
      </c>
      <c r="AE82" s="1"/>
      <c r="AF82" s="1"/>
      <c r="AG82" s="1"/>
      <c r="AH82" s="1"/>
      <c r="AI82" s="1"/>
      <c r="AJ82" s="1"/>
      <c r="AK82" s="1"/>
      <c r="AL82" s="1"/>
      <c r="AM82" s="1"/>
      <c r="AN82" s="1"/>
      <c r="AO82" s="1"/>
      <c r="AQ82" s="1"/>
      <c r="AR82" s="1"/>
      <c r="AS82" s="1"/>
      <c r="AT82" s="1"/>
      <c r="AU82" s="1"/>
      <c r="AV82" s="1"/>
      <c r="AW82" s="1"/>
      <c r="AX82" s="1"/>
      <c r="AY82" s="1"/>
      <c r="AZ82" s="1"/>
    </row>
    <row r="83" spans="1:52" x14ac:dyDescent="0.3">
      <c r="A83" s="1"/>
      <c r="B83" s="1"/>
      <c r="C83" s="1"/>
      <c r="D83" s="1"/>
      <c r="E83" s="1"/>
      <c r="F83" s="1"/>
      <c r="G83" s="1"/>
      <c r="H83" s="1"/>
      <c r="I83" s="1"/>
      <c r="J83" s="1"/>
      <c r="K83" s="1"/>
      <c r="L83" s="1"/>
      <c r="M83" s="1"/>
      <c r="N83" s="1"/>
      <c r="O83" s="1"/>
      <c r="P83" s="1"/>
      <c r="Q83" s="1"/>
      <c r="R83" s="1"/>
      <c r="S83" s="1"/>
      <c r="T83" s="1"/>
      <c r="U83" s="1"/>
      <c r="V83" s="1"/>
      <c r="W83" s="1"/>
      <c r="X83" s="1"/>
      <c r="Y83" s="1"/>
      <c r="AC83" s="1" t="s">
        <v>99</v>
      </c>
      <c r="AD83" s="1">
        <v>0</v>
      </c>
      <c r="AE83" s="1">
        <v>0</v>
      </c>
      <c r="AF83" s="1"/>
      <c r="AG83" s="1"/>
      <c r="AH83" s="1"/>
      <c r="AI83" s="1"/>
      <c r="AJ83" s="1"/>
      <c r="AK83" s="1"/>
      <c r="AL83" s="1"/>
      <c r="AM83" s="1"/>
      <c r="AN83" s="1"/>
      <c r="AO83" s="1"/>
      <c r="AQ83" s="1"/>
      <c r="AR83" s="1"/>
      <c r="AS83" s="1"/>
      <c r="AT83" s="1"/>
      <c r="AU83" s="1"/>
      <c r="AV83" s="1"/>
      <c r="AW83" s="1"/>
      <c r="AX83" s="1"/>
      <c r="AY83" s="1"/>
      <c r="AZ83" s="1"/>
    </row>
    <row r="84" spans="1:52" x14ac:dyDescent="0.3">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t="s">
        <v>90</v>
      </c>
      <c r="AD84" s="1">
        <v>0</v>
      </c>
      <c r="AE84" s="1">
        <v>0</v>
      </c>
      <c r="AF84" s="1"/>
      <c r="AG84" s="1"/>
      <c r="AH84" s="1"/>
      <c r="AI84" s="1"/>
      <c r="AJ84" s="1"/>
      <c r="AK84" s="1"/>
      <c r="AL84" s="1"/>
      <c r="AM84" s="1"/>
      <c r="AN84" s="1"/>
      <c r="AO84" s="1"/>
      <c r="AQ84" s="1"/>
    </row>
    <row r="86" spans="1:52" x14ac:dyDescent="0.3">
      <c r="A86" s="1" t="s">
        <v>40</v>
      </c>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row>
    <row r="87" spans="1:52" ht="43.2" x14ac:dyDescent="0.3">
      <c r="A87" s="1"/>
      <c r="B87" s="1" t="s">
        <v>190</v>
      </c>
      <c r="C87" s="1">
        <v>5</v>
      </c>
      <c r="D87" s="1"/>
      <c r="E87" s="1" t="s">
        <v>192</v>
      </c>
      <c r="F87" s="1">
        <v>3</v>
      </c>
      <c r="G87" s="1"/>
      <c r="H87" s="1" t="s">
        <v>190</v>
      </c>
      <c r="I87" s="1">
        <v>5</v>
      </c>
      <c r="J87" s="1"/>
      <c r="K87" s="1" t="s">
        <v>2</v>
      </c>
      <c r="L87" s="1"/>
      <c r="M87" s="1"/>
      <c r="N87" s="1" t="s">
        <v>1</v>
      </c>
      <c r="O87" s="1">
        <v>5</v>
      </c>
      <c r="P87" s="1"/>
      <c r="Q87" s="1"/>
      <c r="R87" s="1"/>
      <c r="S87" s="1"/>
      <c r="W87" s="1"/>
      <c r="X87" s="1"/>
      <c r="Y87" s="1"/>
      <c r="AC87" s="1"/>
      <c r="AD87" s="1"/>
      <c r="AE87" s="1"/>
      <c r="AI87" s="1"/>
      <c r="AK87" s="1"/>
      <c r="AM87" s="1"/>
      <c r="AN87" s="1"/>
    </row>
    <row r="88" spans="1:52" ht="28.8" x14ac:dyDescent="0.3">
      <c r="A88" s="1"/>
      <c r="B88" s="1" t="s">
        <v>191</v>
      </c>
      <c r="C88" s="1">
        <v>3</v>
      </c>
      <c r="D88" s="1"/>
      <c r="E88" s="1" t="s">
        <v>193</v>
      </c>
      <c r="F88" s="1">
        <v>4</v>
      </c>
      <c r="G88" s="1"/>
      <c r="H88" s="1" t="s">
        <v>191</v>
      </c>
      <c r="I88" s="1">
        <v>3</v>
      </c>
      <c r="J88" s="1"/>
      <c r="K88" s="1" t="s">
        <v>42</v>
      </c>
      <c r="L88" s="1"/>
      <c r="M88" s="1"/>
      <c r="N88" s="1" t="s">
        <v>2</v>
      </c>
      <c r="O88" s="1">
        <v>0</v>
      </c>
      <c r="P88" s="1"/>
      <c r="Q88" s="1"/>
      <c r="R88" s="1"/>
      <c r="S88" s="1"/>
      <c r="W88" s="1"/>
      <c r="X88" s="1"/>
      <c r="Y88" s="1"/>
      <c r="AC88" s="1"/>
      <c r="AD88" s="1"/>
      <c r="AE88" s="1"/>
      <c r="AI88" s="1"/>
      <c r="AK88" s="1"/>
      <c r="AM88" s="1"/>
      <c r="AN88" s="1"/>
    </row>
    <row r="89" spans="1:52" ht="28.8" x14ac:dyDescent="0.3">
      <c r="A89" s="1"/>
      <c r="B89" s="1" t="s">
        <v>2</v>
      </c>
      <c r="C89" s="1">
        <v>0</v>
      </c>
      <c r="D89" s="1"/>
      <c r="E89" s="1" t="s">
        <v>194</v>
      </c>
      <c r="F89" s="1">
        <v>5</v>
      </c>
      <c r="G89" s="1"/>
      <c r="H89" s="1" t="s">
        <v>2</v>
      </c>
      <c r="I89" s="1">
        <v>0</v>
      </c>
      <c r="J89" s="1"/>
      <c r="K89" s="1" t="s">
        <v>43</v>
      </c>
      <c r="L89" s="1"/>
      <c r="M89" s="1"/>
      <c r="N89" s="1" t="s">
        <v>195</v>
      </c>
      <c r="O89" s="1">
        <v>0</v>
      </c>
      <c r="P89" s="1">
        <v>0</v>
      </c>
      <c r="Q89" s="1"/>
      <c r="R89" s="1"/>
      <c r="S89" s="1"/>
      <c r="W89" s="1"/>
      <c r="X89" s="1"/>
      <c r="Y89" s="1"/>
      <c r="AC89" s="1"/>
      <c r="AD89" s="1"/>
      <c r="AE89" s="1"/>
      <c r="AI89" s="1"/>
      <c r="AK89" s="1"/>
      <c r="AM89" s="1"/>
      <c r="AN89" s="1"/>
    </row>
    <row r="90" spans="1:52" x14ac:dyDescent="0.3">
      <c r="A90" s="1"/>
      <c r="B90" s="1" t="s">
        <v>41</v>
      </c>
      <c r="C90" s="1">
        <v>0</v>
      </c>
      <c r="D90" s="1">
        <v>0</v>
      </c>
      <c r="E90" s="1" t="s">
        <v>154</v>
      </c>
      <c r="F90" s="1">
        <v>5</v>
      </c>
      <c r="G90" s="1"/>
      <c r="H90" s="1" t="s">
        <v>41</v>
      </c>
      <c r="I90" s="1">
        <v>0</v>
      </c>
      <c r="J90" s="1">
        <v>0</v>
      </c>
      <c r="K90" s="1"/>
      <c r="L90" s="1"/>
      <c r="M90" s="1"/>
      <c r="N90" s="1"/>
      <c r="O90" s="1"/>
      <c r="P90" s="1"/>
      <c r="Q90" s="1"/>
      <c r="R90" s="1"/>
      <c r="S90" s="1"/>
      <c r="W90" s="1"/>
      <c r="X90" s="1"/>
      <c r="Y90" s="1"/>
      <c r="AC90" s="1"/>
      <c r="AD90" s="1"/>
      <c r="AE90" s="1"/>
      <c r="AI90" s="1"/>
      <c r="AK90" s="1"/>
      <c r="AL90" s="1"/>
      <c r="AM90" s="1"/>
      <c r="AN90" s="1"/>
    </row>
    <row r="91" spans="1:52" x14ac:dyDescent="0.3">
      <c r="A91" s="1"/>
      <c r="B91" s="1"/>
      <c r="C91" s="1"/>
      <c r="D91" s="1"/>
      <c r="E91" s="1" t="s">
        <v>123</v>
      </c>
      <c r="F91" s="1">
        <v>4</v>
      </c>
      <c r="G91" s="1"/>
      <c r="K91" s="1"/>
      <c r="L91" s="1"/>
      <c r="M91" s="1"/>
      <c r="N91" s="1"/>
      <c r="O91" s="1"/>
      <c r="P91" s="1"/>
      <c r="Q91" s="1"/>
      <c r="R91" s="1"/>
      <c r="S91" s="1"/>
      <c r="W91" s="1"/>
      <c r="X91" s="1"/>
      <c r="Y91" s="1"/>
      <c r="Z91" s="1"/>
      <c r="AA91" s="1"/>
      <c r="AB91" s="1"/>
      <c r="AC91" s="1"/>
      <c r="AD91" s="1"/>
      <c r="AE91" s="1"/>
      <c r="AI91" s="1"/>
      <c r="AJ91" s="1"/>
      <c r="AK91" s="1"/>
      <c r="AL91" s="1"/>
      <c r="AM91" s="1"/>
      <c r="AN91" s="1"/>
    </row>
    <row r="92" spans="1:52" x14ac:dyDescent="0.3">
      <c r="A92" s="1"/>
      <c r="B92" s="1"/>
      <c r="C92" s="1"/>
      <c r="D92" s="1"/>
      <c r="E92" s="1" t="s">
        <v>41</v>
      </c>
      <c r="F92" s="1">
        <v>0</v>
      </c>
      <c r="G92" s="1">
        <v>0</v>
      </c>
      <c r="K92" s="1"/>
      <c r="L92" s="1"/>
      <c r="M92" s="1"/>
      <c r="N92" s="1"/>
      <c r="O92" s="1"/>
      <c r="P92" s="1"/>
      <c r="Q92" s="1"/>
      <c r="R92" s="1"/>
      <c r="S92" s="1"/>
      <c r="W92" s="1"/>
      <c r="X92" s="1"/>
      <c r="Y92" s="1"/>
      <c r="Z92" s="1"/>
      <c r="AA92" s="1"/>
      <c r="AB92" s="1"/>
      <c r="AC92" s="1"/>
      <c r="AD92" s="1"/>
      <c r="AE92" s="1"/>
      <c r="AI92" s="1"/>
      <c r="AJ92" s="1"/>
      <c r="AK92" s="1"/>
      <c r="AL92" s="1"/>
      <c r="AM92" s="1"/>
      <c r="AN92" s="1"/>
    </row>
    <row r="93" spans="1:52" x14ac:dyDescent="0.3">
      <c r="A93" s="1"/>
      <c r="B93" s="1"/>
      <c r="C93" s="1"/>
      <c r="D93" s="1"/>
      <c r="E93" s="1"/>
      <c r="F93" s="1"/>
      <c r="G93" s="1"/>
      <c r="K93" s="1"/>
      <c r="L93" s="1"/>
      <c r="M93" s="1"/>
      <c r="N93" s="1"/>
      <c r="O93" s="1"/>
      <c r="P93" s="1"/>
      <c r="Q93" s="1"/>
      <c r="R93" s="1"/>
      <c r="S93" s="1"/>
      <c r="W93" s="1"/>
      <c r="X93" s="1"/>
      <c r="Y93" s="1"/>
      <c r="Z93" s="1"/>
      <c r="AA93" s="1"/>
      <c r="AB93" s="1"/>
      <c r="AC93" s="1"/>
      <c r="AD93" s="1"/>
      <c r="AE93" s="1"/>
      <c r="AF93" s="1"/>
      <c r="AG93" s="1"/>
      <c r="AH93" s="1"/>
      <c r="AI93" s="1"/>
      <c r="AJ93" s="1"/>
      <c r="AK93" s="1"/>
      <c r="AL93" s="1"/>
      <c r="AM93" s="1"/>
      <c r="AN93" s="1"/>
    </row>
    <row r="94" spans="1:52" x14ac:dyDescent="0.3">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row>
    <row r="95" spans="1:52" x14ac:dyDescent="0.3">
      <c r="A95" t="s">
        <v>96</v>
      </c>
    </row>
    <row r="96" spans="1:52" x14ac:dyDescent="0.3">
      <c r="B96" s="1" t="s">
        <v>8</v>
      </c>
      <c r="C96" s="1">
        <v>5</v>
      </c>
      <c r="D96" s="1"/>
      <c r="E96" s="1" t="s">
        <v>1</v>
      </c>
      <c r="F96" s="1">
        <v>5</v>
      </c>
      <c r="G96" s="1"/>
      <c r="H96" s="1" t="s">
        <v>198</v>
      </c>
      <c r="I96" s="1">
        <v>5</v>
      </c>
      <c r="J96" s="1"/>
      <c r="K96" s="5" t="s">
        <v>1</v>
      </c>
      <c r="L96" s="5">
        <v>5</v>
      </c>
      <c r="N96" s="1" t="s">
        <v>200</v>
      </c>
      <c r="O96" s="1">
        <v>5</v>
      </c>
      <c r="P96" s="1"/>
      <c r="Q96" s="1" t="s">
        <v>98</v>
      </c>
      <c r="R96" s="1">
        <v>5</v>
      </c>
      <c r="S96" s="1"/>
    </row>
    <row r="97" spans="1:19" ht="43.2" x14ac:dyDescent="0.3">
      <c r="B97" s="1" t="s">
        <v>21</v>
      </c>
      <c r="C97" s="1">
        <v>3</v>
      </c>
      <c r="D97" s="1"/>
      <c r="E97" s="1" t="s">
        <v>2</v>
      </c>
      <c r="F97" s="1">
        <v>0</v>
      </c>
      <c r="G97" s="1"/>
      <c r="H97" s="1" t="s">
        <v>199</v>
      </c>
      <c r="I97" s="1">
        <v>3</v>
      </c>
      <c r="J97" s="1"/>
      <c r="K97" s="5" t="s">
        <v>2</v>
      </c>
      <c r="L97" s="5">
        <v>0</v>
      </c>
      <c r="N97" s="1" t="s">
        <v>474</v>
      </c>
      <c r="O97" s="1">
        <v>3</v>
      </c>
      <c r="P97" s="1"/>
      <c r="Q97" s="1" t="s">
        <v>475</v>
      </c>
      <c r="R97" s="1">
        <v>4</v>
      </c>
      <c r="S97" s="1"/>
    </row>
    <row r="98" spans="1:19" ht="28.8" x14ac:dyDescent="0.3">
      <c r="B98" s="5" t="s">
        <v>479</v>
      </c>
      <c r="C98" s="5">
        <v>0</v>
      </c>
      <c r="E98" s="1" t="s">
        <v>195</v>
      </c>
      <c r="F98" s="1">
        <v>0</v>
      </c>
      <c r="G98" s="1">
        <v>0</v>
      </c>
      <c r="H98" s="1" t="s">
        <v>2</v>
      </c>
      <c r="I98" s="1">
        <v>0</v>
      </c>
      <c r="J98" s="1"/>
      <c r="N98" s="1" t="s">
        <v>201</v>
      </c>
      <c r="O98" s="1">
        <v>2</v>
      </c>
      <c r="P98" s="1"/>
      <c r="Q98" s="1" t="s">
        <v>476</v>
      </c>
      <c r="R98" s="1">
        <v>3</v>
      </c>
      <c r="S98" s="1"/>
    </row>
    <row r="99" spans="1:19" ht="57.6" x14ac:dyDescent="0.3">
      <c r="B99" s="1" t="s">
        <v>197</v>
      </c>
      <c r="C99" s="1">
        <v>0</v>
      </c>
      <c r="D99" s="1"/>
      <c r="N99" s="1" t="s">
        <v>2</v>
      </c>
      <c r="O99" s="1">
        <v>0</v>
      </c>
      <c r="P99" s="1"/>
      <c r="Q99" s="1" t="s">
        <v>204</v>
      </c>
      <c r="R99" s="1">
        <v>1</v>
      </c>
      <c r="S99" s="1"/>
    </row>
    <row r="100" spans="1:19" x14ac:dyDescent="0.3">
      <c r="B100" s="1" t="s">
        <v>41</v>
      </c>
      <c r="C100" s="1">
        <v>0</v>
      </c>
      <c r="D100" s="1">
        <v>0</v>
      </c>
      <c r="Q100" s="1" t="s">
        <v>202</v>
      </c>
      <c r="R100" s="1">
        <v>0</v>
      </c>
      <c r="S100" s="1"/>
    </row>
    <row r="103" spans="1:19" x14ac:dyDescent="0.3">
      <c r="A103" t="s">
        <v>304</v>
      </c>
    </row>
    <row r="104" spans="1:19" x14ac:dyDescent="0.3">
      <c r="B104" s="5" t="s">
        <v>1</v>
      </c>
      <c r="C104" s="5">
        <v>5</v>
      </c>
      <c r="E104" s="1" t="s">
        <v>477</v>
      </c>
      <c r="F104" s="1">
        <v>0</v>
      </c>
      <c r="G104" s="1"/>
    </row>
    <row r="105" spans="1:19" x14ac:dyDescent="0.3">
      <c r="B105" s="5" t="s">
        <v>2</v>
      </c>
      <c r="C105" s="5">
        <v>0</v>
      </c>
      <c r="E105" s="1" t="s">
        <v>93</v>
      </c>
      <c r="F105" s="1">
        <v>1</v>
      </c>
      <c r="G105" s="1"/>
    </row>
    <row r="106" spans="1:19" x14ac:dyDescent="0.3">
      <c r="E106" s="1" t="s">
        <v>23</v>
      </c>
      <c r="F106" s="1">
        <v>2</v>
      </c>
      <c r="G106" s="1"/>
    </row>
    <row r="107" spans="1:19" x14ac:dyDescent="0.3">
      <c r="E107" s="1" t="s">
        <v>22</v>
      </c>
      <c r="F107" s="1">
        <v>3</v>
      </c>
      <c r="G107" s="1"/>
    </row>
    <row r="108" spans="1:19" x14ac:dyDescent="0.3">
      <c r="E108" s="1" t="s">
        <v>101</v>
      </c>
      <c r="F108" s="1">
        <v>4</v>
      </c>
      <c r="G108" s="1"/>
    </row>
    <row r="109" spans="1:19" x14ac:dyDescent="0.3">
      <c r="E109" s="1" t="s">
        <v>307</v>
      </c>
      <c r="F109" s="1">
        <v>5</v>
      </c>
      <c r="G109" s="1"/>
    </row>
    <row r="110" spans="1:19" x14ac:dyDescent="0.3">
      <c r="E110" s="5" t="s">
        <v>306</v>
      </c>
      <c r="F110" s="5">
        <v>5</v>
      </c>
    </row>
  </sheetData>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2:C24"/>
  <sheetViews>
    <sheetView topLeftCell="A7" workbookViewId="0">
      <selection activeCell="B24" sqref="B24"/>
    </sheetView>
  </sheetViews>
  <sheetFormatPr defaultRowHeight="14.4" x14ac:dyDescent="0.3"/>
  <cols>
    <col min="2" max="2" width="108.6640625" customWidth="1"/>
  </cols>
  <sheetData>
    <row r="2" spans="2:2" ht="86.4" x14ac:dyDescent="0.3">
      <c r="B2" s="1" t="s">
        <v>106</v>
      </c>
    </row>
    <row r="4" spans="2:2" ht="100.8" x14ac:dyDescent="0.3">
      <c r="B4" s="1" t="s">
        <v>107</v>
      </c>
    </row>
    <row r="6" spans="2:2" x14ac:dyDescent="0.3">
      <c r="B6" t="s">
        <v>218</v>
      </c>
    </row>
    <row r="8" spans="2:2" x14ac:dyDescent="0.3">
      <c r="B8" t="s">
        <v>214</v>
      </c>
    </row>
    <row r="9" spans="2:2" x14ac:dyDescent="0.3">
      <c r="B9" t="s">
        <v>215</v>
      </c>
    </row>
    <row r="10" spans="2:2" x14ac:dyDescent="0.3">
      <c r="B10" t="s">
        <v>217</v>
      </c>
    </row>
    <row r="12" spans="2:2" x14ac:dyDescent="0.3">
      <c r="B12" t="s">
        <v>312</v>
      </c>
    </row>
    <row r="13" spans="2:2" x14ac:dyDescent="0.3">
      <c r="B13" t="s">
        <v>206</v>
      </c>
    </row>
    <row r="14" spans="2:2" x14ac:dyDescent="0.3">
      <c r="B14" t="s">
        <v>207</v>
      </c>
    </row>
    <row r="15" spans="2:2" x14ac:dyDescent="0.3">
      <c r="B15" t="s">
        <v>209</v>
      </c>
    </row>
    <row r="16" spans="2:2" x14ac:dyDescent="0.3">
      <c r="B16" t="s">
        <v>216</v>
      </c>
    </row>
    <row r="17" spans="2:3" x14ac:dyDescent="0.3">
      <c r="B17" t="s">
        <v>313</v>
      </c>
    </row>
    <row r="18" spans="2:3" ht="15" thickBot="1" x14ac:dyDescent="0.35"/>
    <row r="19" spans="2:3" x14ac:dyDescent="0.3">
      <c r="B19" s="19" t="s">
        <v>210</v>
      </c>
      <c r="C19" s="18"/>
    </row>
    <row r="20" spans="2:3" x14ac:dyDescent="0.3">
      <c r="B20" s="20" t="s">
        <v>211</v>
      </c>
      <c r="C20" s="18"/>
    </row>
    <row r="21" spans="2:3" x14ac:dyDescent="0.3">
      <c r="B21" s="22" t="s">
        <v>212</v>
      </c>
      <c r="C21" s="18"/>
    </row>
    <row r="22" spans="2:3" ht="15" thickBot="1" x14ac:dyDescent="0.35">
      <c r="B22" s="23" t="s">
        <v>213</v>
      </c>
    </row>
    <row r="24" spans="2:3" ht="23.4" x14ac:dyDescent="0.45">
      <c r="B24" s="42" t="s">
        <v>208</v>
      </c>
    </row>
  </sheetData>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B2:B8"/>
  <sheetViews>
    <sheetView workbookViewId="0">
      <selection activeCell="D15" sqref="D15"/>
    </sheetView>
  </sheetViews>
  <sheetFormatPr defaultRowHeight="14.4" x14ac:dyDescent="0.3"/>
  <cols>
    <col min="2" max="2" width="74.6640625" customWidth="1"/>
  </cols>
  <sheetData>
    <row r="2" spans="2:2" x14ac:dyDescent="0.3">
      <c r="B2" t="s">
        <v>108</v>
      </c>
    </row>
    <row r="3" spans="2:2" x14ac:dyDescent="0.3">
      <c r="B3" t="s">
        <v>110</v>
      </c>
    </row>
    <row r="4" spans="2:2" x14ac:dyDescent="0.3">
      <c r="B4" t="s">
        <v>109</v>
      </c>
    </row>
    <row r="6" spans="2:2" x14ac:dyDescent="0.3">
      <c r="B6" t="s">
        <v>111</v>
      </c>
    </row>
    <row r="7" spans="2:2" x14ac:dyDescent="0.3">
      <c r="B7" t="s">
        <v>112</v>
      </c>
    </row>
    <row r="8" spans="2:2" x14ac:dyDescent="0.3">
      <c r="B8" t="s">
        <v>473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18</vt:i4>
      </vt:variant>
    </vt:vector>
  </HeadingPairs>
  <TitlesOfParts>
    <vt:vector size="18" baseType="lpstr">
      <vt:lpstr>ReadMe</vt:lpstr>
      <vt:lpstr>Team</vt:lpstr>
      <vt:lpstr>RequirementMgmt</vt:lpstr>
      <vt:lpstr>VersionControl</vt:lpstr>
      <vt:lpstr>UnitTesting</vt:lpstr>
      <vt:lpstr>CodeQualityAndAnalytics</vt:lpstr>
      <vt:lpstr>Packaging</vt:lpstr>
      <vt:lpstr>Build</vt:lpstr>
      <vt:lpstr>Testing</vt:lpstr>
      <vt:lpstr>UserAcceptanceTesting</vt:lpstr>
      <vt:lpstr>Deploy</vt:lpstr>
      <vt:lpstr>Release</vt:lpstr>
      <vt:lpstr>RunTime</vt:lpstr>
      <vt:lpstr>Infrastructure</vt:lpstr>
      <vt:lpstr>Results</vt:lpstr>
      <vt:lpstr>DataNew</vt:lpstr>
      <vt:lpstr>Introduction</vt:lpstr>
      <vt:lpstr>Notes</vt:lpstr>
    </vt:vector>
  </TitlesOfParts>
  <Company>Travelers</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Jain,Tushar</dc:creator>
  <cp:lastModifiedBy>Jain,Tushar</cp:lastModifiedBy>
  <dcterms:created xsi:type="dcterms:W3CDTF">2017-12-18T13:50:57Z</dcterms:created>
  <dcterms:modified xsi:type="dcterms:W3CDTF">2018-02-01T16:26:13Z</dcterms:modified>
</cp:coreProperties>
</file>